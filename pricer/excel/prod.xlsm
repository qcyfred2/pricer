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D3" i="6" l="1"/>
  <c r="D2" i="6"/>
  <c r="G2" i="6"/>
  <c r="F2" i="6"/>
  <c r="K108" i="3"/>
  <c r="C3" i="6"/>
  <c r="C2" i="6"/>
  <c r="L108" i="3" l="1"/>
  <c r="K109" i="3"/>
  <c r="L109" i="3" s="1"/>
  <c r="K6" i="3"/>
  <c r="L6" i="3" s="1"/>
  <c r="K7" i="3"/>
  <c r="L7" i="3" s="1"/>
  <c r="K8" i="3"/>
  <c r="L8" i="3" s="1"/>
  <c r="K9" i="3"/>
  <c r="L9" i="3" s="1"/>
  <c r="K10" i="3"/>
  <c r="L10" i="3" s="1"/>
  <c r="K11" i="3"/>
  <c r="L11" i="3" s="1"/>
  <c r="K2" i="3"/>
  <c r="K107" i="3"/>
  <c r="K106" i="3"/>
  <c r="K12" i="3"/>
  <c r="K5" i="3"/>
  <c r="K3" i="3"/>
  <c r="K4" i="3"/>
  <c r="L5" i="3" l="1"/>
  <c r="L2" i="3"/>
  <c r="L3" i="3"/>
  <c r="L4" i="3"/>
  <c r="L106" i="3"/>
  <c r="L107" i="3"/>
  <c r="L12" i="3"/>
  <c r="K26" i="3"/>
  <c r="L26" i="3" s="1"/>
  <c r="K27" i="3"/>
  <c r="L27" i="3" s="1"/>
  <c r="K28" i="3"/>
  <c r="L28" i="3" s="1"/>
  <c r="K29" i="3"/>
  <c r="L29" i="3" s="1"/>
  <c r="K30" i="3"/>
  <c r="L30" i="3" s="1"/>
  <c r="K31" i="3"/>
  <c r="L31" i="3" s="1"/>
  <c r="K32" i="3"/>
  <c r="L32" i="3" s="1"/>
  <c r="K33" i="3"/>
  <c r="L33" i="3" s="1"/>
  <c r="K34" i="3"/>
  <c r="L34" i="3" s="1"/>
  <c r="K35" i="3"/>
  <c r="L35" i="3" s="1"/>
  <c r="K38" i="3"/>
  <c r="L38" i="3" s="1"/>
  <c r="K39" i="3"/>
  <c r="L39" i="3" s="1"/>
  <c r="K40" i="3"/>
  <c r="L40" i="3" s="1"/>
  <c r="K41" i="3"/>
  <c r="L41" i="3" s="1"/>
  <c r="K42" i="3"/>
  <c r="L42" i="3" s="1"/>
  <c r="K43" i="3"/>
  <c r="L43" i="3" s="1"/>
  <c r="K44" i="3"/>
  <c r="L44" i="3" s="1"/>
  <c r="K45" i="3"/>
  <c r="L45" i="3" s="1"/>
  <c r="K46" i="3"/>
  <c r="L46" i="3" s="1"/>
  <c r="K47" i="3"/>
  <c r="L47" i="3" s="1"/>
  <c r="K48" i="3"/>
  <c r="L48" i="3" s="1"/>
  <c r="K49" i="3"/>
  <c r="L49" i="3" s="1"/>
  <c r="K50" i="3"/>
  <c r="L50" i="3" s="1"/>
  <c r="K51" i="3"/>
  <c r="L51" i="3" s="1"/>
  <c r="K52" i="3"/>
  <c r="L52" i="3" s="1"/>
  <c r="K53" i="3"/>
  <c r="L53" i="3" s="1"/>
  <c r="K54" i="3"/>
  <c r="L54" i="3" s="1"/>
  <c r="K55" i="3"/>
  <c r="L55" i="3" s="1"/>
  <c r="K56" i="3"/>
  <c r="L56" i="3" s="1"/>
  <c r="K57" i="3"/>
  <c r="L57" i="3" s="1"/>
  <c r="K58" i="3"/>
  <c r="L58" i="3" s="1"/>
  <c r="K59" i="3"/>
  <c r="L59" i="3" s="1"/>
  <c r="K60" i="3"/>
  <c r="L60" i="3" s="1"/>
  <c r="K61" i="3"/>
  <c r="L61" i="3" s="1"/>
  <c r="K62" i="3"/>
  <c r="L62" i="3" s="1"/>
  <c r="K63" i="3"/>
  <c r="L63" i="3" s="1"/>
  <c r="K64" i="3"/>
  <c r="L64" i="3" s="1"/>
  <c r="K65" i="3"/>
  <c r="L65" i="3" s="1"/>
  <c r="K66" i="3"/>
  <c r="L66" i="3" s="1"/>
  <c r="K67" i="3"/>
  <c r="L67" i="3" s="1"/>
  <c r="K68" i="3"/>
  <c r="L68" i="3" s="1"/>
  <c r="K69" i="3"/>
  <c r="L69" i="3" s="1"/>
  <c r="K70" i="3"/>
  <c r="L70" i="3" s="1"/>
  <c r="K71" i="3"/>
  <c r="L71" i="3" s="1"/>
  <c r="K72" i="3"/>
  <c r="L72" i="3" s="1"/>
  <c r="K73" i="3"/>
  <c r="L73" i="3" s="1"/>
  <c r="K74" i="3"/>
  <c r="L74" i="3" s="1"/>
  <c r="K75" i="3"/>
  <c r="L75" i="3" s="1"/>
  <c r="K76" i="3"/>
  <c r="L76" i="3" s="1"/>
  <c r="K77" i="3"/>
  <c r="L77" i="3" s="1"/>
  <c r="K78" i="3"/>
  <c r="L78" i="3" s="1"/>
  <c r="K79" i="3"/>
  <c r="L79" i="3" s="1"/>
  <c r="K80" i="3"/>
  <c r="L80" i="3" s="1"/>
  <c r="K81" i="3"/>
  <c r="L81" i="3" s="1"/>
  <c r="K82" i="3"/>
  <c r="L82" i="3" s="1"/>
  <c r="K83" i="3"/>
  <c r="L83" i="3" s="1"/>
  <c r="K84" i="3"/>
  <c r="L84" i="3" s="1"/>
  <c r="K85" i="3"/>
  <c r="L85" i="3" s="1"/>
  <c r="K86" i="3"/>
  <c r="L86" i="3" s="1"/>
  <c r="K87" i="3"/>
  <c r="L87" i="3" s="1"/>
  <c r="K88" i="3"/>
  <c r="L88" i="3" s="1"/>
  <c r="K89" i="3"/>
  <c r="L89" i="3" s="1"/>
  <c r="K90" i="3"/>
  <c r="L90" i="3" s="1"/>
  <c r="K91" i="3"/>
  <c r="L91" i="3" s="1"/>
  <c r="K92" i="3"/>
  <c r="L92" i="3" s="1"/>
  <c r="K93" i="3"/>
  <c r="L93" i="3" s="1"/>
  <c r="K94" i="3"/>
  <c r="L94" i="3" s="1"/>
  <c r="K95" i="3"/>
  <c r="L95" i="3" s="1"/>
  <c r="K96" i="3"/>
  <c r="L96" i="3" s="1"/>
  <c r="K97" i="3"/>
  <c r="L97" i="3" s="1"/>
  <c r="K98" i="3"/>
  <c r="L98" i="3" s="1"/>
  <c r="K99" i="3"/>
  <c r="L99" i="3" s="1"/>
  <c r="K100" i="3"/>
  <c r="L100" i="3" s="1"/>
  <c r="K101" i="3"/>
  <c r="L101" i="3" s="1"/>
  <c r="K102" i="3"/>
  <c r="L102" i="3" s="1"/>
  <c r="K103" i="3"/>
  <c r="L103" i="3" s="1"/>
  <c r="K104" i="3"/>
  <c r="L104" i="3" s="1"/>
  <c r="K105" i="3"/>
  <c r="L105" i="3" s="1"/>
  <c r="K20" i="3"/>
  <c r="K25" i="3"/>
  <c r="K24" i="3"/>
  <c r="K36" i="3"/>
  <c r="K37" i="3"/>
  <c r="K19" i="3"/>
  <c r="K14" i="3"/>
  <c r="K15" i="3"/>
  <c r="K13" i="3"/>
  <c r="K23" i="3"/>
  <c r="K21" i="3"/>
  <c r="K22" i="3"/>
  <c r="K18" i="3"/>
  <c r="K17" i="3"/>
  <c r="K16" i="3"/>
  <c r="L24" i="3" l="1"/>
  <c r="L25" i="3"/>
  <c r="L14" i="3"/>
  <c r="L13" i="3"/>
  <c r="L23" i="3"/>
  <c r="L16" i="3"/>
  <c r="L15" i="3"/>
  <c r="L20" i="3"/>
  <c r="L19" i="3"/>
  <c r="L18" i="3"/>
  <c r="L17" i="3"/>
  <c r="L37" i="3"/>
  <c r="L36" i="3"/>
  <c r="L22" i="3"/>
  <c r="L21" i="3"/>
  <c r="B2" i="5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<sst xmlns="http://schemas.openxmlformats.org/spreadsheetml/2006/main" count="186" uniqueCount="107">
  <si>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</si>
  <si>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</si>
  <si>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</si>
  <si>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</si>
  <si>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</si>
  <si>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</si>
  <si>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</si>
  <si>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</si>
  <si>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</si>
  <si>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</si>
  <si>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</si>
  <si>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</si>
  <si>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</si>
  <si>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</si>
  <si>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</si>
  <si>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</si>
  <si>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</si>
  <si>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</si>
  <si>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</si>
  <si>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</si>
  <si>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</si>
  <si>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</si>
  <si>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</si>
  <si>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</si>
  <si>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</si>
  <si>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</si>
  <si>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</si>
  <si>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</si>
  <si>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</si>
  <si>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</si>
  <si>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</si>
  <si>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</si>
  <si>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</si>
  <si>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</si>
  <si>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</si>
  <si>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</si>
  <si>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</si>
  <si>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</si>
  <si>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</si>
  <si>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</si>
  <si>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</si>
  <si>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</si>
  <si>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</si>
  <si>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</si>
  <si>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</si>
  <si>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</si>
  <si>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</si>
  <si>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</si>
  <si>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</si>
  <si>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</si>
  <si>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</si>
  <si>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</si>
  <si>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</si>
  <si>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</si>
  <si>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IFERROR(IF(OR(C2="FC-SAN",C2="IP-SAN"),StoragePrice(D2,I2)/I2,VLOOKUP(A2,所有商品!A:L,7,FALSE)),0)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</si>
  <si>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</si>
  <si>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</si>
  <si>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</si>
  <si>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</si>
  <si>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</si>
  <si>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</si>
  <si>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</si>
  <si>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</si>
  <si>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</si>
  <si>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</si>
  <si>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</si>
  <si>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</si>
  <si>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</si>
  <si>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</si>
  <si>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</si>
  <si>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</si>
  <si>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</si>
  <si>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</si>
  <si>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</si>
  <si>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</si>
  <si>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</si>
  <si>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</si>
  <si>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</si>
  <si>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</si>
  <si>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</si>
  <si>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</si>
  <si>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</si>
  <si>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</si>
  <si>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</si>
  <si>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</si>
  <si>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</si>
  <si>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</si>
  <si>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r>
      <rPr>
        <b/>
        <sz val="20"/>
        <color rgb="FFFF0000"/>
        <rFont val="微软雅黑"/>
        <family val="2"/>
        <charset val="134"/>
      </rPr>
      <t>小心</t>
    </r>
    <r>
      <rPr>
        <b/>
        <sz val="10"/>
        <color rgb="FFFF0000"/>
        <rFont val="微软雅黑"/>
        <family val="2"/>
        <charset val="134"/>
      </rPr>
      <t>。这将</t>
    </r>
    <r>
      <rPr>
        <b/>
        <sz val="11"/>
        <color rgb="FFFF0000"/>
        <rFont val="微软雅黑"/>
        <family val="2"/>
        <charset val="134"/>
      </rPr>
      <t>更新数据库，请确认</t>
    </r>
    <r>
      <rPr>
        <b/>
        <sz val="20"/>
        <color rgb="FFFF0000"/>
        <rFont val="微软雅黑"/>
        <family val="2"/>
        <charset val="134"/>
      </rPr>
      <t>订单号</t>
    </r>
    <r>
      <rPr>
        <b/>
        <sz val="11"/>
        <color rgb="FFFF0000"/>
        <rFont val="微软雅黑"/>
        <family val="2"/>
        <charset val="134"/>
      </rPr>
      <t>！</t>
    </r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</si>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</sst>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48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2"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9525</xdr:rowOff>
        </xdr:from>
        <xdr:to>
          <xdr:col>16</xdr:col>
          <xdr:colOff>609600</xdr:colOff>
          <xdr:row>26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18</xdr:row>
          <xdr:rowOff>152400</xdr:rowOff>
        </xdr:from>
        <xdr:to>
          <xdr:col>16</xdr:col>
          <xdr:colOff>609600</xdr:colOff>
          <xdr:row>20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200025</xdr:rowOff>
        </xdr:from>
        <xdr:to>
          <xdr:col>8</xdr:col>
          <xdr:colOff>390525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78">
        <f>SUM(L:L)</f>
        <v>0</v>
      </c>
      <c r="P1" s="79"/>
      <c r="Q1" s="79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IFERROR(IF(OR(C2="FC-SAN",C2="IP-SAN"),StoragePrice(D2,I2)/I2,VLOOKUP(A2,所有商品!A:L,7,FALSE)),0)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IFERROR(IF(OR(C3="FC-SAN",C3="IP-SAN"),StoragePrice(D3,I3)/I3,VLOOKUP(A3,所有商品!A:L,7,FALSE)),0)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IFERROR(IF(OR(C4="FC-SAN",C4="IP-SAN"),StoragePrice(D4,I4)/I4,VLOOKUP(A4,所有商品!A:L,7,FALSE)),0)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IFERROR(IF(OR(C5="FC-SAN",C5="IP-SAN"),StoragePrice(D5,I5)/I5,VLOOKUP(A5,所有商品!A:L,7,FALSE)),0)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IFERROR(IF(OR(C6="FC-SAN",C6="IP-SAN"),StoragePrice(D6,I6)/I6,VLOOKUP(A6,所有商品!A:L,7,FALSE)),0)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IFERROR(IF(OR(C7="FC-SAN",C7="IP-SAN"),StoragePrice(D7,I7)/I7,VLOOKUP(A7,所有商品!A:L,7,FALSE)),0)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IFERROR(IF(OR(C8="FC-SAN",C8="IP-SAN"),StoragePrice(D8,I8)/I8,VLOOKUP(A8,所有商品!A:L,7,FALSE)),0)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IFERROR(IF(OR(C9="FC-SAN",C9="IP-SAN"),StoragePrice(D9,I9)/I9,VLOOKUP(A9,所有商品!A:L,7,FALSE)),0)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IFERROR(IF(OR(C10="FC-SAN",C10="IP-SAN"),StoragePrice(D10,I10)/I10,VLOOKUP(A10,所有商品!A:L,7,FALSE)),0)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IFERROR(IF(OR(C11="FC-SAN",C11="IP-SAN"),StoragePrice(D11,I11)/I11,VLOOKUP(A11,所有商品!A:L,7,FALSE)),0)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IFERROR(IF(OR(C12="FC-SAN",C12="IP-SAN"),StoragePrice(D12,I12)/I12,VLOOKUP(A12,所有商品!A:L,7,FALSE)),0)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IFERROR(IF(OR(C13="FC-SAN",C13="IP-SAN"),StoragePrice(D13,I13)/I13,VLOOKUP(A13,所有商品!A:L,7,FALSE)),0)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IFERROR(IF(OR(C14="FC-SAN",C14="IP-SAN"),StoragePrice(D14,I14)/I14,VLOOKUP(A14,所有商品!A:L,7,FALSE)),0)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IFERROR(IF(OR(C15="FC-SAN",C15="IP-SAN"),StoragePrice(D15,I15)/I15,VLOOKUP(A15,所有商品!A:L,7,FALSE)),0)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IFERROR(IF(OR(C16="FC-SAN",C16="IP-SAN"),StoragePrice(D16,I16)/I16,VLOOKUP(A16,所有商品!A:L,7,FALSE)),0)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IFERROR(IF(OR(C17="FC-SAN",C17="IP-SAN"),StoragePrice(D17,I17)/I17,VLOOKUP(A17,所有商品!A:L,7,FALSE)),0)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IFERROR(IF(OR(C18="FC-SAN",C18="IP-SAN"),StoragePrice(D18,I18)/I18,VLOOKUP(A18,所有商品!A:L,7,FALSE)),0)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IFERROR(IF(OR(C19="FC-SAN",C19="IP-SAN"),StoragePrice(D19,I19)/I19,VLOOKUP(A19,所有商品!A:L,7,FALSE)),0)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IFERROR(IF(OR(C20="FC-SAN",C20="IP-SAN"),StoragePrice(D20,I20)/I20,VLOOKUP(A20,所有商品!A:L,7,FALSE)),0)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IFERROR(IF(OR(C21="FC-SAN",C21="IP-SAN"),StoragePrice(D21,I21)/I21,VLOOKUP(A21,所有商品!A:L,7,FALSE)),0)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IFERROR(IF(OR(C22="FC-SAN",C22="IP-SAN"),StoragePrice(D22,I22)/I22,VLOOKUP(A22,所有商品!A:L,7,FALSE)),0)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IFERROR(IF(OR(C23="FC-SAN",C23="IP-SAN"),StoragePrice(D23,I23)/I23,VLOOKUP(A23,所有商品!A:L,7,FALSE)),0)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IFERROR(IF(OR(C24="FC-SAN",C24="IP-SAN"),StoragePrice(D24,I24)/I24,VLOOKUP(A24,所有商品!A:L,7,FALSE)),0)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IFERROR(IF(OR(C25="FC-SAN",C25="IP-SAN"),StoragePrice(D25,I25)/I25,VLOOKUP(A25,所有商品!A:L,7,FALSE)),0)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IFERROR(IF(OR(C26="FC-SAN",C26="IP-SAN"),StoragePrice(D26,I26)/I26,VLOOKUP(A26,所有商品!A:L,7,FALSE)),0)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IFERROR(IF(OR(C27="FC-SAN",C27="IP-SAN"),StoragePrice(D27,I27)/I27,VLOOKUP(A27,所有商品!A:L,7,FALSE)),0)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IFERROR(IF(OR(C28="FC-SAN",C28="IP-SAN"),StoragePrice(D28,I28)/I28,VLOOKUP(A28,所有商品!A:L,7,FALSE)),0)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IFERROR(IF(OR(C29="FC-SAN",C29="IP-SAN"),StoragePrice(D29,I29)/I29,VLOOKUP(A29,所有商品!A:L,7,FALSE)),0)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IFERROR(IF(OR(C30="FC-SAN",C30="IP-SAN"),StoragePrice(D30,I30)/I30,VLOOKUP(A30,所有商品!A:L,7,FALSE)),0)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IFERROR(IF(OR(C31="FC-SAN",C31="IP-SAN"),StoragePrice(D31,I31)/I31,VLOOKUP(A31,所有商品!A:L,7,FALSE)),0)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IFERROR(IF(OR(C32="FC-SAN",C32="IP-SAN"),StoragePrice(D32,I32)/I32,VLOOKUP(A32,所有商品!A:L,7,FALSE)),0)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IFERROR(IF(OR(C33="FC-SAN",C33="IP-SAN"),StoragePrice(D33,I33)/I33,VLOOKUP(A33,所有商品!A:L,7,FALSE)),0)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IFERROR(IF(OR(C34="FC-SAN",C34="IP-SAN"),StoragePrice(D34,I34)/I34,VLOOKUP(A34,所有商品!A:L,7,FALSE)),0)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IFERROR(IF(OR(C35="FC-SAN",C35="IP-SAN"),StoragePrice(D35,I35)/I35,VLOOKUP(A35,所有商品!A:L,7,FALSE)),0)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IFERROR(IF(OR(C36="FC-SAN",C36="IP-SAN"),StoragePrice(D36,I36)/I36,VLOOKUP(A36,所有商品!A:L,7,FALSE)),0)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IFERROR(IF(OR(C37="FC-SAN",C37="IP-SAN"),StoragePrice(D37,I37)/I37,VLOOKUP(A37,所有商品!A:L,7,FALSE)),0)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IFERROR(IF(OR(C38="FC-SAN",C38="IP-SAN"),StoragePrice(D38,I38)/I38,VLOOKUP(A38,所有商品!A:L,7,FALSE)),0)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IFERROR(IF(OR(C39="FC-SAN",C39="IP-SAN"),StoragePrice(D39,I39)/I39,VLOOKUP(A39,所有商品!A:L,7,FALSE)),0)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IFERROR(IF(OR(C40="FC-SAN",C40="IP-SAN"),StoragePrice(D40,I40)/I40,VLOOKUP(A40,所有商品!A:L,7,FALSE)),0)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IFERROR(IF(OR(C41="FC-SAN",C41="IP-SAN"),StoragePrice(D41,I41)/I41,VLOOKUP(A41,所有商品!A:L,7,FALSE)),0)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IFERROR(IF(OR(C42="FC-SAN",C42="IP-SAN"),StoragePrice(D42,I42)/I42,VLOOKUP(A42,所有商品!A:L,7,FALSE)),0)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IFERROR(IF(OR(C43="FC-SAN",C43="IP-SAN"),StoragePrice(D43,I43)/I43,VLOOKUP(A43,所有商品!A:L,7,FALSE)),0)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IFERROR(IF(OR(C44="FC-SAN",C44="IP-SAN"),StoragePrice(D44,I44)/I44,VLOOKUP(A44,所有商品!A:L,7,FALSE)),0)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IFERROR(IF(OR(C45="FC-SAN",C45="IP-SAN"),StoragePrice(D45,I45)/I45,VLOOKUP(A45,所有商品!A:L,7,FALSE)),0)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IFERROR(IF(OR(C46="FC-SAN",C46="IP-SAN"),StoragePrice(D46,I46)/I46,VLOOKUP(A46,所有商品!A:L,7,FALSE)),0)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IFERROR(IF(OR(C47="FC-SAN",C47="IP-SAN"),StoragePrice(D47,I47)/I47,VLOOKUP(A47,所有商品!A:L,7,FALSE)),0)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IFERROR(IF(OR(C48="FC-SAN",C48="IP-SAN"),StoragePrice(D48,I48)/I48,VLOOKUP(A48,所有商品!A:L,7,FALSE)),0)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IFERROR(IF(OR(C49="FC-SAN",C49="IP-SAN"),StoragePrice(D49,I49)/I49,VLOOKUP(A49,所有商品!A:L,7,FALSE)),0)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IFERROR(IF(OR(C50="FC-SAN",C50="IP-SAN"),StoragePrice(D50,I50)/I50,VLOOKUP(A50,所有商品!A:L,7,FALSE)),0)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IFERROR(IF(OR(C51="FC-SAN",C51="IP-SAN"),StoragePrice(D51,I51)/I51,VLOOKUP(A51,所有商品!A:L,7,FALSE)),0)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IFERROR(IF(OR(C52="FC-SAN",C52="IP-SAN"),StoragePrice(D52,I52)/I52,VLOOKUP(A52,所有商品!A:L,7,FALSE)),0)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IFERROR(IF(OR(C53="FC-SAN",C53="IP-SAN"),StoragePrice(D53,I53)/I53,VLOOKUP(A53,所有商品!A:L,7,FALSE)),0)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IFERROR(IF(OR(C54="FC-SAN",C54="IP-SAN"),StoragePrice(D54,I54)/I54,VLOOKUP(A54,所有商品!A:L,7,FALSE)),0)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IFERROR(IF(OR(C55="FC-SAN",C55="IP-SAN"),StoragePrice(D55,I55)/I55,VLOOKUP(A55,所有商品!A:L,7,FALSE)),0)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IFERROR(IF(OR(C56="FC-SAN",C56="IP-SAN"),StoragePrice(D56,I56)/I56,VLOOKUP(A56,所有商品!A:L,7,FALSE)),0)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IFERROR(IF(OR(C57="FC-SAN",C57="IP-SAN"),StoragePrice(D57,I57)/I57,VLOOKUP(A57,所有商品!A:L,7,FALSE)),0)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IFERROR(IF(OR(C58="FC-SAN",C58="IP-SAN"),StoragePrice(D58,I58)/I58,VLOOKUP(A58,所有商品!A:L,7,FALSE)),0)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IFERROR(IF(OR(C59="FC-SAN",C59="IP-SAN"),StoragePrice(D59,I59)/I59,VLOOKUP(A59,所有商品!A:L,7,FALSE)),0)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IFERROR(IF(OR(C60="FC-SAN",C60="IP-SAN"),StoragePrice(D60,I60)/I60,VLOOKUP(A60,所有商品!A:L,7,FALSE)),0)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IFERROR(IF(OR(C61="FC-SAN",C61="IP-SAN"),StoragePrice(D61,I61)/I61,VLOOKUP(A61,所有商品!A:L,7,FALSE)),0)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IFERROR(IF(OR(C62="FC-SAN",C62="IP-SAN"),StoragePrice(D62,I62)/I62,VLOOKUP(A62,所有商品!A:L,7,FALSE)),0)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IFERROR(IF(OR(C63="FC-SAN",C63="IP-SAN"),StoragePrice(D63,I63)/I63,VLOOKUP(A63,所有商品!A:L,7,FALSE)),0)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IFERROR(IF(OR(C64="FC-SAN",C64="IP-SAN"),StoragePrice(D64,I64)/I64,VLOOKUP(A64,所有商品!A:L,7,FALSE)),0)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IFERROR(IF(OR(C65="FC-SAN",C65="IP-SAN"),StoragePrice(D65,I65)/I65,VLOOKUP(A65,所有商品!A:L,7,FALSE)),0)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IFERROR(IF(OR(C66="FC-SAN",C66="IP-SAN"),StoragePrice(D66,I66)/I66,VLOOKUP(A66,所有商品!A:L,7,FALSE)),0)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IFERROR(IF(OR(C67="FC-SAN",C67="IP-SAN"),StoragePrice(D67,I67)/I67,VLOOKUP(A67,所有商品!A:L,7,FALSE)),0)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IFERROR(IF(OR(C68="FC-SAN",C68="IP-SAN"),StoragePrice(D68,I68)/I68,VLOOKUP(A68,所有商品!A:L,7,FALSE)),0)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IFERROR(IF(OR(C69="FC-SAN",C69="IP-SAN"),StoragePrice(D69,I69)/I69,VLOOKUP(A69,所有商品!A:L,7,FALSE)),0)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IFERROR(IF(OR(C70="FC-SAN",C70="IP-SAN"),StoragePrice(D70,I70)/I70,VLOOKUP(A70,所有商品!A:L,7,FALSE)),0)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IFERROR(IF(OR(C71="FC-SAN",C71="IP-SAN"),StoragePrice(D71,I71)/I71,VLOOKUP(A71,所有商品!A:L,7,FALSE)),0)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IFERROR(IF(OR(C72="FC-SAN",C72="IP-SAN"),StoragePrice(D72,I72)/I72,VLOOKUP(A72,所有商品!A:L,7,FALSE)),0)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IFERROR(IF(OR(C73="FC-SAN",C73="IP-SAN"),StoragePrice(D73,I73)/I73,VLOOKUP(A73,所有商品!A:L,7,FALSE)),0)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IFERROR(IF(OR(C74="FC-SAN",C74="IP-SAN"),StoragePrice(D74,I74)/I74,VLOOKUP(A74,所有商品!A:L,7,FALSE)),0)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IFERROR(IF(OR(C75="FC-SAN",C75="IP-SAN"),StoragePrice(D75,I75)/I75,VLOOKUP(A75,所有商品!A:L,7,FALSE)),0)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IFERROR(IF(OR(C76="FC-SAN",C76="IP-SAN"),StoragePrice(D76,I76)/I76,VLOOKUP(A76,所有商品!A:L,7,FALSE)),0)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IFERROR(IF(OR(C77="FC-SAN",C77="IP-SAN"),StoragePrice(D77,I77)/I77,VLOOKUP(A77,所有商品!A:L,7,FALSE)),0)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IFERROR(IF(OR(C78="FC-SAN",C78="IP-SAN"),StoragePrice(D78,I78)/I78,VLOOKUP(A78,所有商品!A:L,7,FALSE)),0)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IFERROR(IF(OR(C79="FC-SAN",C79="IP-SAN"),StoragePrice(D79,I79)/I79,VLOOKUP(A79,所有商品!A:L,7,FALSE)),0)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IFERROR(IF(OR(C80="FC-SAN",C80="IP-SAN"),StoragePrice(D80,I80)/I80,VLOOKUP(A80,所有商品!A:L,7,FALSE)),0)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IFERROR(IF(OR(C81="FC-SAN",C81="IP-SAN"),StoragePrice(D81,I81)/I81,VLOOKUP(A81,所有商品!A:L,7,FALSE)),0)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IFERROR(IF(OR(C82="FC-SAN",C82="IP-SAN"),StoragePrice(D82,I82)/I82,VLOOKUP(A82,所有商品!A:L,7,FALSE)),0)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IFERROR(IF(OR(C83="FC-SAN",C83="IP-SAN"),StoragePrice(D83,I83)/I83,VLOOKUP(A83,所有商品!A:L,7,FALSE)),0)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IFERROR(IF(OR(C84="FC-SAN",C84="IP-SAN"),StoragePrice(D84,I84)/I84,VLOOKUP(A84,所有商品!A:L,7,FALSE)),0)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IFERROR(IF(OR(C85="FC-SAN",C85="IP-SAN"),StoragePrice(D85,I85)/I85,VLOOKUP(A85,所有商品!A:L,7,FALSE)),0)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IFERROR(IF(OR(C86="FC-SAN",C86="IP-SAN"),StoragePrice(D86,I86)/I86,VLOOKUP(A86,所有商品!A:L,7,FALSE)),0)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IFERROR(IF(OR(C87="FC-SAN",C87="IP-SAN"),StoragePrice(D87,I87)/I87,VLOOKUP(A87,所有商品!A:L,7,FALSE)),0)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IFERROR(IF(OR(C88="FC-SAN",C88="IP-SAN"),StoragePrice(D88,I88)/I88,VLOOKUP(A88,所有商品!A:L,7,FALSE)),0)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IFERROR(IF(OR(C89="FC-SAN",C89="IP-SAN"),StoragePrice(D89,I89)/I89,VLOOKUP(A89,所有商品!A:L,7,FALSE)),0)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IFERROR(IF(OR(C90="FC-SAN",C90="IP-SAN"),StoragePrice(D90,I90)/I90,VLOOKUP(A90,所有商品!A:L,7,FALSE)),0)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IFERROR(IF(OR(C91="FC-SAN",C91="IP-SAN"),StoragePrice(D91,I91)/I91,VLOOKUP(A91,所有商品!A:L,7,FALSE)),0)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IFERROR(IF(OR(C92="FC-SAN",C92="IP-SAN"),StoragePrice(D92,I92)/I92,VLOOKUP(A92,所有商品!A:L,7,FALSE)),0)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IFERROR(IF(OR(C93="FC-SAN",C93="IP-SAN"),StoragePrice(D93,I93)/I93,VLOOKUP(A93,所有商品!A:L,7,FALSE)),0)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IFERROR(IF(OR(C94="FC-SAN",C94="IP-SAN"),StoragePrice(D94,I94)/I94,VLOOKUP(A94,所有商品!A:L,7,FALSE)),0)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IFERROR(IF(OR(C95="FC-SAN",C95="IP-SAN"),StoragePrice(D95,I95)/I95,VLOOKUP(A95,所有商品!A:L,7,FALSE)),0)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IFERROR(IF(OR(C96="FC-SAN",C96="IP-SAN"),StoragePrice(D96,I96)/I96,VLOOKUP(A96,所有商品!A:L,7,FALSE)),0)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IFERROR(IF(OR(C97="FC-SAN",C97="IP-SAN"),StoragePrice(D97,I97)/I97,VLOOKUP(A97,所有商品!A:L,7,FALSE)),0)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IFERROR(IF(OR(C98="FC-SAN",C98="IP-SAN"),StoragePrice(D98,I98)/I98,VLOOKUP(A98,所有商品!A:L,7,FALSE)),0)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IFERROR(IF(OR(C99="FC-SAN",C99="IP-SAN"),StoragePrice(D99,I99)/I99,VLOOKUP(A99,所有商品!A:L,7,FALSE)),0)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IFERROR(IF(OR(C100="FC-SAN",C100="IP-SAN"),StoragePrice(D100,I100)/I100,VLOOKUP(A100,所有商品!A:L,7,FALSE)),0)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IFERROR(IF(OR(C101="FC-SAN",C101="IP-SAN"),StoragePrice(D101,I101)/I101,VLOOKUP(A101,所有商品!A:L,7,FALSE)),0)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IFERROR(IF(OR(C102="FC-SAN",C102="IP-SAN"),StoragePrice(D102,I102)/I102,VLOOKUP(A102,所有商品!A:L,7,FALSE)),0)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IFERROR(IF(OR(C103="FC-SAN",C103="IP-SAN"),StoragePrice(D103,I103)/I103,VLOOKUP(A103,所有商品!A:L,7,FALSE)),0)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IFERROR(IF(OR(C104="FC-SAN",C104="IP-SAN"),StoragePrice(D104,I104)/I104,VLOOKUP(A104,所有商品!A:L,7,FALSE)),0)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IFERROR(IF(OR(C105="FC-SAN",C105="IP-SAN"),StoragePrice(D105,I105)/I105,VLOOKUP(A105,所有商品!A:L,7,FALSE)),0)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IFERROR(IF(OR(C106="FC-SAN",C106="IP-SAN"),StoragePrice(D106,I106)/I106,VLOOKUP(A106,所有商品!A:L,7,FALSE)),0)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IFERROR(IF(OR(C107="FC-SAN",C107="IP-SAN"),StoragePrice(D107,I107)/I107,VLOOKUP(A107,所有商品!A:L,7,FALSE)),0)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IFERROR(IF(OR(C108="FC-SAN",C108="IP-SAN"),StoragePrice(D108,I108)/I108,VLOOKUP(A108,所有商品!A:L,7,FALSE)),0)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IFERROR(IF(OR(C109="FC-SAN",C109="IP-SAN"),StoragePrice(D109,I109)/I109,VLOOKUP(A109,所有商品!A:L,7,FALSE)),0)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9" priority="6" operator="greaterThan">
      <formula>0</formula>
    </cfRule>
  </conditionalFormatting>
  <conditionalFormatting sqref="L2:M12 M13:M71 L13:L109">
    <cfRule type="cellIs" dxfId="8" priority="4" operator="greaterThan">
      <formula>0</formula>
    </cfRule>
  </conditionalFormatting>
  <conditionalFormatting sqref="I2:I71 I110:I1000">
    <cfRule type="cellIs" dxfId="7" priority="3" operator="greaterThan">
      <formula>0</formula>
    </cfRule>
  </conditionalFormatting>
  <conditionalFormatting sqref="J72:J109">
    <cfRule type="cellIs" dxfId="6" priority="2" operator="greaterThan">
      <formula>0</formula>
    </cfRule>
  </conditionalFormatting>
  <conditionalFormatting sqref="I72:I109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78">
        <f>SUM(L:L)</f>
        <v>0</v>
      </c>
      <c r="P1" s="79"/>
      <c r="Q1" s="79"/>
    </row>
    <row r="2" spans="1:20" ht="16.5" customHeight="1" x14ac:dyDescent="0.3">
      <c r="E2" s="18"/>
      <c r="G2" s="24"/>
      <c r="N2" s="73" t="s">
        <v>74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2" t="s">
        <v>37</v>
      </c>
      <c r="O4" s="83"/>
      <c r="P4" s="83"/>
      <c r="Q4" s="84"/>
    </row>
    <row r="5" spans="1:20" x14ac:dyDescent="0.3">
      <c r="M5" s="44"/>
      <c r="N5" s="37" t="s">
        <v>30</v>
      </c>
      <c r="O5" s="87">
        <f>O1</f>
        <v>0</v>
      </c>
      <c r="P5" s="88"/>
      <c r="Q5" s="89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2" t="s">
        <v>35</v>
      </c>
      <c r="O12" s="83"/>
      <c r="P12" s="83"/>
      <c r="Q12" s="84"/>
    </row>
    <row r="13" spans="1:20" x14ac:dyDescent="0.3">
      <c r="M13" s="44"/>
      <c r="N13" s="37" t="s">
        <v>30</v>
      </c>
      <c r="O13" s="85">
        <v>100</v>
      </c>
      <c r="P13" s="85"/>
      <c r="Q13" s="86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0" t="s">
        <v>87</v>
      </c>
      <c r="O23" s="81"/>
      <c r="P23" s="81"/>
      <c r="Q23" s="81"/>
    </row>
    <row r="24" spans="13:17" x14ac:dyDescent="0.3">
      <c r="N24" s="80"/>
      <c r="O24" s="81"/>
      <c r="P24" s="81"/>
      <c r="Q24" s="81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9525</xdr:rowOff>
                  </from>
                  <to>
                    <xdr:col>16</xdr:col>
                    <xdr:colOff>609600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14</xdr:col>
                    <xdr:colOff>895350</xdr:colOff>
                    <xdr:row>18</xdr:row>
                    <xdr:rowOff>152400</xdr:rowOff>
                  </from>
                  <to>
                    <xdr:col>16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00"/>
  <sheetViews>
    <sheetView showGridLines="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9.25" style="18" bestFit="1" customWidth="1"/>
    <col min="13" max="13" width="29.625" style="20" bestFit="1" customWidth="1"/>
    <col min="14" max="14" width="14.5" style="20" bestFit="1" customWidth="1"/>
    <col min="15" max="15" width="13.25" style="20" bestFit="1" customWidth="1"/>
    <col min="16" max="16384" width="9" style="1"/>
  </cols>
  <sheetData>
    <row r="1" spans="1:15" x14ac:dyDescent="0.3">
      <c r="A1" s="8" t="s">
        <v>51</v>
      </c>
      <c r="B1" s="9">
        <v>1</v>
      </c>
      <c r="C1" s="23"/>
      <c r="D1" s="13" t="s">
        <v>49</v>
      </c>
      <c r="E1" s="13" t="s">
        <v>67</v>
      </c>
      <c r="F1" s="15" t="s">
        <v>68</v>
      </c>
      <c r="G1" s="13" t="s">
        <v>55</v>
      </c>
      <c r="H1" s="16" t="s">
        <v>60</v>
      </c>
      <c r="I1" s="16" t="s">
        <v>50</v>
      </c>
      <c r="J1" s="13" t="s">
        <v>59</v>
      </c>
      <c r="K1" s="51" t="s">
        <v>1</v>
      </c>
      <c r="L1" s="13" t="s">
        <v>56</v>
      </c>
      <c r="M1" s="13" t="s">
        <v>57</v>
      </c>
      <c r="N1" s="16" t="s">
        <v>58</v>
      </c>
      <c r="O1" s="16" t="s">
        <v>88</v>
      </c>
    </row>
    <row r="2" spans="1:15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  <c r="O2" s="20">
        <v>7</v>
      </c>
    </row>
    <row r="3" spans="1:15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  <c r="O3" s="20">
        <v>7</v>
      </c>
    </row>
    <row r="4" spans="1:15" x14ac:dyDescent="0.3">
      <c r="A4" s="2"/>
      <c r="B4" s="2"/>
      <c r="C4" s="2"/>
      <c r="D4" s="17"/>
      <c r="F4" s="19"/>
      <c r="G4" s="18"/>
      <c r="H4" s="20"/>
      <c r="J4" s="21"/>
      <c r="M4" s="21"/>
      <c r="O4" s="20">
        <v>7</v>
      </c>
    </row>
    <row r="5" spans="1:15" x14ac:dyDescent="0.3">
      <c r="A5" s="2"/>
      <c r="B5" s="2"/>
      <c r="C5" s="2"/>
      <c r="D5" s="17"/>
      <c r="F5" s="19"/>
      <c r="G5" s="18"/>
      <c r="H5" s="20"/>
      <c r="J5" s="21"/>
      <c r="M5" s="21"/>
      <c r="O5" s="20">
        <v>7</v>
      </c>
    </row>
    <row r="6" spans="1:15" x14ac:dyDescent="0.3">
      <c r="A6" s="2"/>
      <c r="B6" s="2"/>
      <c r="C6" s="2"/>
      <c r="D6" s="17"/>
      <c r="F6" s="19"/>
      <c r="G6" s="18"/>
      <c r="H6" s="20"/>
      <c r="J6" s="21"/>
      <c r="M6" s="21"/>
      <c r="O6" s="20">
        <v>7</v>
      </c>
    </row>
    <row r="7" spans="1:15" x14ac:dyDescent="0.3">
      <c r="A7" s="2"/>
      <c r="B7" s="2"/>
      <c r="C7" s="2"/>
      <c r="D7" s="17"/>
      <c r="F7" s="19"/>
      <c r="G7" s="18"/>
      <c r="H7" s="20"/>
      <c r="J7" s="21"/>
      <c r="M7" s="21"/>
      <c r="O7" s="20">
        <v>7</v>
      </c>
    </row>
    <row r="8" spans="1:15" x14ac:dyDescent="0.3">
      <c r="A8" s="2"/>
      <c r="B8" s="2"/>
      <c r="C8" s="2"/>
      <c r="D8" s="17"/>
      <c r="F8" s="19"/>
      <c r="G8" s="18"/>
      <c r="H8" s="20"/>
      <c r="J8" s="21"/>
      <c r="M8" s="21"/>
      <c r="O8" s="20">
        <v>6</v>
      </c>
    </row>
    <row r="9" spans="1:15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5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5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5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5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5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5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5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E1:E1048576">
    <cfRule type="cellIs" dxfId="2" priority="1" operator="equal">
      <formula>"已确认"</formula>
    </cfRule>
    <cfRule type="cellIs" dxfId="1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0" t="s">
        <v>6</v>
      </c>
      <c r="N1" s="90"/>
    </row>
    <row r="2" spans="1:14" x14ac:dyDescent="0.3">
      <c r="L2" s="90" t="s">
        <v>14</v>
      </c>
      <c r="M2" s="90"/>
      <c r="N2" s="90"/>
    </row>
    <row r="10" spans="1:14" x14ac:dyDescent="0.3">
      <c r="L10" s="12" t="s">
        <v>19</v>
      </c>
    </row>
    <row r="11" spans="1:14" x14ac:dyDescent="0.3">
      <c r="L11" s="26" t="s">
        <v>54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"/>
  <sheetViews>
    <sheetView showGridLines="0" workbookViewId="0"/>
  </sheetViews>
  <sheetFormatPr defaultRowHeight="16.5" x14ac:dyDescent="0.3"/>
  <cols>
    <col min="1" max="1" width="5.5" style="14" bestFit="1" customWidth="1"/>
    <col min="2" max="2" width="8.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16384" width="9" style="1"/>
  </cols>
  <sheetData>
    <row r="1" spans="1:6" x14ac:dyDescent="0.3">
      <c r="A1" s="13" t="s">
        <v>69</v>
      </c>
      <c r="B1" s="13" t="s">
        <v>70</v>
      </c>
      <c r="C1" s="16" t="s">
        <v>71</v>
      </c>
      <c r="D1" s="16" t="s">
        <v>50</v>
      </c>
      <c r="E1" s="13" t="s">
        <v>59</v>
      </c>
      <c r="F1" s="13" t="s">
        <v>72</v>
      </c>
    </row>
  </sheetData>
  <phoneticPr fontId="1" type="noConversion"/>
  <conditionalFormatting sqref="F1:F1048576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0</xdr:colOff>
                    <xdr:row>0</xdr:row>
                    <xdr:rowOff>200025</xdr:rowOff>
                  </from>
                  <to>
                    <xdr:col>8</xdr:col>
                    <xdr:colOff>390525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1" t="s">
        <v>103</v>
      </c>
      <c r="B1" s="91"/>
      <c r="G1" s="91" t="s">
        <v>104</v>
      </c>
      <c r="H1" s="91"/>
    </row>
    <row r="2" spans="1:8" x14ac:dyDescent="0.3">
      <c r="A2" s="14" t="s">
        <v>73</v>
      </c>
      <c r="B2" s="72"/>
      <c r="G2" s="14" t="s">
        <v>52</v>
      </c>
      <c r="H2" s="72"/>
    </row>
    <row r="3" spans="1:8" x14ac:dyDescent="0.3">
      <c r="A3" s="14" t="s">
        <v>75</v>
      </c>
      <c r="B3" s="72"/>
      <c r="G3" s="14" t="s">
        <v>106</v>
      </c>
      <c r="H3" s="72"/>
    </row>
    <row r="4" spans="1:8" x14ac:dyDescent="0.3">
      <c r="A4" s="14" t="s">
        <v>78</v>
      </c>
      <c r="B4" s="72"/>
      <c r="G4" s="14" t="s">
        <v>102</v>
      </c>
      <c r="H4" s="72"/>
    </row>
    <row r="5" spans="1:8" x14ac:dyDescent="0.3">
      <c r="A5" s="14" t="s">
        <v>79</v>
      </c>
      <c r="B5" s="72"/>
      <c r="G5" s="76" t="s">
        <v>78</v>
      </c>
      <c r="H5" s="77"/>
    </row>
    <row r="6" spans="1:8" x14ac:dyDescent="0.3">
      <c r="A6" s="14" t="s">
        <v>80</v>
      </c>
      <c r="B6" s="72"/>
      <c r="G6" s="76" t="s">
        <v>91</v>
      </c>
      <c r="H6" s="77"/>
    </row>
    <row r="7" spans="1:8" x14ac:dyDescent="0.3">
      <c r="A7" s="14" t="s">
        <v>81</v>
      </c>
      <c r="B7" s="72"/>
      <c r="G7" s="76" t="s">
        <v>92</v>
      </c>
      <c r="H7" s="77"/>
    </row>
    <row r="8" spans="1:8" x14ac:dyDescent="0.3">
      <c r="A8" s="14" t="s">
        <v>82</v>
      </c>
      <c r="B8" s="72"/>
      <c r="G8" s="76" t="s">
        <v>93</v>
      </c>
      <c r="H8" s="77"/>
    </row>
    <row r="9" spans="1:8" x14ac:dyDescent="0.3">
      <c r="A9" s="14" t="s">
        <v>76</v>
      </c>
      <c r="B9" s="72"/>
      <c r="G9" s="75" t="s">
        <v>94</v>
      </c>
      <c r="H9" s="75"/>
    </row>
    <row r="10" spans="1:8" x14ac:dyDescent="0.3">
      <c r="A10" s="14" t="s">
        <v>77</v>
      </c>
      <c r="B10" s="25"/>
      <c r="G10" s="75" t="s">
        <v>95</v>
      </c>
      <c r="H10" s="75"/>
    </row>
    <row r="11" spans="1:8" x14ac:dyDescent="0.3">
      <c r="A11" s="14" t="s">
        <v>83</v>
      </c>
      <c r="B11" s="72"/>
      <c r="G11" s="75" t="s">
        <v>96</v>
      </c>
      <c r="H11" s="75"/>
    </row>
    <row r="12" spans="1:8" x14ac:dyDescent="0.3">
      <c r="A12" s="14" t="s">
        <v>61</v>
      </c>
      <c r="B12" s="72"/>
      <c r="G12" s="75" t="s">
        <v>97</v>
      </c>
      <c r="H12" s="75"/>
    </row>
    <row r="13" spans="1:8" x14ac:dyDescent="0.3">
      <c r="A13" s="14" t="s">
        <v>84</v>
      </c>
      <c r="B13" s="72"/>
      <c r="G13" s="75" t="s">
        <v>98</v>
      </c>
      <c r="H13" s="75"/>
    </row>
    <row r="14" spans="1:8" x14ac:dyDescent="0.3">
      <c r="A14" s="14"/>
      <c r="B14" s="72"/>
      <c r="G14" s="75" t="s">
        <v>99</v>
      </c>
      <c r="H14" s="75"/>
    </row>
    <row r="15" spans="1:8" x14ac:dyDescent="0.3">
      <c r="A15" s="14"/>
      <c r="B15" s="72"/>
      <c r="G15" s="75" t="s">
        <v>100</v>
      </c>
      <c r="H15" s="75"/>
    </row>
    <row r="16" spans="1:8" x14ac:dyDescent="0.3">
      <c r="A16" s="14"/>
      <c r="B16" s="72"/>
      <c r="G16" s="75" t="s">
        <v>101</v>
      </c>
      <c r="H16" s="75"/>
    </row>
    <row r="17" spans="1:8" x14ac:dyDescent="0.3">
      <c r="A17" s="14"/>
      <c r="B17" s="72"/>
      <c r="G17" s="75" t="s">
        <v>105</v>
      </c>
      <c r="H17" s="75"/>
    </row>
    <row r="18" spans="1:8" x14ac:dyDescent="0.3">
      <c r="A18" s="14"/>
      <c r="B18" s="72"/>
      <c r="G18" s="14" t="s">
        <v>61</v>
      </c>
      <c r="H18" s="72"/>
    </row>
    <row r="19" spans="1:8" x14ac:dyDescent="0.3">
      <c r="A19" s="14"/>
      <c r="B19" s="72"/>
      <c r="G19" s="14" t="s">
        <v>84</v>
      </c>
      <c r="H19" s="72"/>
    </row>
    <row r="20" spans="1:8" x14ac:dyDescent="0.3">
      <c r="A20" s="14"/>
      <c r="B20" s="72"/>
      <c r="G20" s="14" t="s">
        <v>77</v>
      </c>
      <c r="H20" s="25"/>
    </row>
    <row r="21" spans="1:8" x14ac:dyDescent="0.3">
      <c r="G21" s="14" t="s">
        <v>83</v>
      </c>
      <c r="H21" s="72"/>
    </row>
    <row r="28" spans="1:8" x14ac:dyDescent="0.3">
      <c r="A28" s="92" t="s">
        <v>89</v>
      </c>
      <c r="B28" s="93"/>
      <c r="G28" s="94" t="s">
        <v>90</v>
      </c>
      <c r="H28" s="95"/>
    </row>
    <row r="29" spans="1:8" x14ac:dyDescent="0.3">
      <c r="A29" s="14" t="s">
        <v>73</v>
      </c>
      <c r="B29" s="72"/>
      <c r="G29" s="14" t="s">
        <v>52</v>
      </c>
      <c r="H29" s="72"/>
    </row>
    <row r="30" spans="1:8" x14ac:dyDescent="0.3">
      <c r="A30" s="14" t="s">
        <v>75</v>
      </c>
      <c r="B30" s="72"/>
      <c r="G30" s="14" t="s">
        <v>106</v>
      </c>
      <c r="H30" s="72"/>
    </row>
    <row r="31" spans="1:8" x14ac:dyDescent="0.3">
      <c r="A31" s="14" t="s">
        <v>78</v>
      </c>
      <c r="B31" s="72"/>
      <c r="G31" s="14" t="s">
        <v>102</v>
      </c>
      <c r="H31" s="72"/>
    </row>
    <row r="32" spans="1:8" x14ac:dyDescent="0.3">
      <c r="A32" s="14" t="s">
        <v>79</v>
      </c>
      <c r="B32" s="72"/>
      <c r="G32" s="76" t="s">
        <v>78</v>
      </c>
      <c r="H32" s="77"/>
    </row>
    <row r="33" spans="1:8" x14ac:dyDescent="0.3">
      <c r="A33" s="14" t="s">
        <v>80</v>
      </c>
      <c r="B33" s="72"/>
      <c r="G33" s="76" t="s">
        <v>91</v>
      </c>
      <c r="H33" s="77"/>
    </row>
    <row r="34" spans="1:8" x14ac:dyDescent="0.3">
      <c r="A34" s="14" t="s">
        <v>81</v>
      </c>
      <c r="B34" s="72"/>
      <c r="G34" s="76" t="s">
        <v>92</v>
      </c>
      <c r="H34" s="77"/>
    </row>
    <row r="35" spans="1:8" x14ac:dyDescent="0.3">
      <c r="A35" s="14" t="s">
        <v>82</v>
      </c>
      <c r="B35" s="72"/>
      <c r="G35" s="76" t="s">
        <v>93</v>
      </c>
      <c r="H35" s="77"/>
    </row>
    <row r="36" spans="1:8" x14ac:dyDescent="0.3">
      <c r="A36" s="14" t="s">
        <v>76</v>
      </c>
      <c r="B36" s="72"/>
      <c r="G36" s="75" t="s">
        <v>94</v>
      </c>
      <c r="H36" s="75"/>
    </row>
    <row r="37" spans="1:8" x14ac:dyDescent="0.3">
      <c r="A37" s="14" t="s">
        <v>77</v>
      </c>
      <c r="B37" s="72"/>
      <c r="G37" s="75" t="s">
        <v>95</v>
      </c>
      <c r="H37" s="75"/>
    </row>
    <row r="38" spans="1:8" x14ac:dyDescent="0.3">
      <c r="A38" s="14" t="s">
        <v>83</v>
      </c>
      <c r="B38" s="72"/>
      <c r="G38" s="75" t="s">
        <v>96</v>
      </c>
      <c r="H38" s="75"/>
    </row>
    <row r="39" spans="1:8" x14ac:dyDescent="0.3">
      <c r="A39" s="14" t="s">
        <v>61</v>
      </c>
      <c r="B39" s="72"/>
      <c r="G39" s="75" t="s">
        <v>97</v>
      </c>
      <c r="H39" s="75"/>
    </row>
    <row r="40" spans="1:8" x14ac:dyDescent="0.3">
      <c r="A40" s="14" t="s">
        <v>84</v>
      </c>
      <c r="B40" s="72"/>
      <c r="G40" s="75" t="s">
        <v>98</v>
      </c>
      <c r="H40" s="75"/>
    </row>
    <row r="41" spans="1:8" x14ac:dyDescent="0.3">
      <c r="A41" s="14"/>
      <c r="B41" s="72"/>
      <c r="G41" s="75" t="s">
        <v>99</v>
      </c>
      <c r="H41" s="75"/>
    </row>
    <row r="42" spans="1:8" x14ac:dyDescent="0.3">
      <c r="A42" s="14"/>
      <c r="B42" s="72"/>
      <c r="G42" s="75" t="s">
        <v>100</v>
      </c>
      <c r="H42" s="75"/>
    </row>
    <row r="43" spans="1:8" x14ac:dyDescent="0.3">
      <c r="A43" s="14"/>
      <c r="B43" s="72"/>
      <c r="G43" s="75" t="s">
        <v>101</v>
      </c>
      <c r="H43" s="75"/>
    </row>
    <row r="44" spans="1:8" x14ac:dyDescent="0.3">
      <c r="A44" s="14"/>
      <c r="B44" s="72"/>
      <c r="G44" s="75" t="s">
        <v>105</v>
      </c>
      <c r="H44" s="75"/>
    </row>
    <row r="45" spans="1:8" x14ac:dyDescent="0.3">
      <c r="A45" s="14"/>
      <c r="B45" s="72"/>
      <c r="G45" s="14" t="s">
        <v>61</v>
      </c>
      <c r="H45" s="72"/>
    </row>
    <row r="46" spans="1:8" x14ac:dyDescent="0.3">
      <c r="A46" s="14"/>
      <c r="B46" s="72"/>
      <c r="G46" s="14" t="s">
        <v>84</v>
      </c>
      <c r="H46" s="72"/>
    </row>
    <row r="47" spans="1:8" x14ac:dyDescent="0.3">
      <c r="A47" s="14"/>
      <c r="B47" s="72"/>
      <c r="G47" s="14" t="s">
        <v>77</v>
      </c>
      <c r="H47" s="25"/>
    </row>
    <row r="48" spans="1:8" x14ac:dyDescent="0.3">
      <c r="G48" s="14" t="s">
        <v>83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55</v>
      </c>
      <c r="C1" s="13" t="s">
        <v>60</v>
      </c>
      <c r="D1" s="16" t="s">
        <v>50</v>
      </c>
      <c r="E1" s="13" t="s">
        <v>59</v>
      </c>
      <c r="F1" s="15" t="s">
        <v>62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63</v>
      </c>
      <c r="P1" s="13" t="s">
        <v>64</v>
      </c>
      <c r="Q1" s="15" t="s">
        <v>65</v>
      </c>
      <c r="R1" s="13" t="s">
        <v>56</v>
      </c>
      <c r="S1" s="16" t="s">
        <v>58</v>
      </c>
      <c r="T1" s="13" t="s">
        <v>57</v>
      </c>
      <c r="U1" s="13" t="s">
        <v>1</v>
      </c>
      <c r="V1" s="13" t="s">
        <v>66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2" t="s">
        <v>39</v>
      </c>
      <c r="B1" s="103"/>
      <c r="C1" s="104"/>
      <c r="E1" s="102" t="s">
        <v>42</v>
      </c>
      <c r="F1" s="103"/>
      <c r="G1" s="103"/>
      <c r="H1" s="104"/>
      <c r="J1" s="1" t="s">
        <v>41</v>
      </c>
    </row>
    <row r="2" spans="1:10" x14ac:dyDescent="0.3">
      <c r="A2" s="120">
        <f ca="1">NOW()</f>
        <v>43249.479866550922</v>
      </c>
      <c r="B2" s="121"/>
      <c r="C2" s="122"/>
      <c r="E2" s="37" t="s">
        <v>30</v>
      </c>
      <c r="F2" s="85">
        <v>678</v>
      </c>
      <c r="G2" s="85"/>
      <c r="H2" s="86"/>
    </row>
    <row r="3" spans="1:10" x14ac:dyDescent="0.3">
      <c r="A3" s="108">
        <f ca="1">NOW()</f>
        <v>43249.479866550922</v>
      </c>
      <c r="B3" s="109"/>
      <c r="C3" s="110"/>
      <c r="E3" s="37" t="s">
        <v>40</v>
      </c>
      <c r="F3" s="35" t="b">
        <v>1</v>
      </c>
      <c r="G3" s="31"/>
      <c r="H3" s="38"/>
    </row>
    <row r="4" spans="1:10" x14ac:dyDescent="0.3">
      <c r="A4" s="105">
        <f ca="1">NOW()</f>
        <v>43249.479866550922</v>
      </c>
      <c r="B4" s="106"/>
      <c r="C4" s="107"/>
      <c r="E4" s="37" t="s">
        <v>33</v>
      </c>
      <c r="F4" s="35" t="b">
        <v>1</v>
      </c>
      <c r="G4" s="32"/>
      <c r="H4" s="39"/>
    </row>
    <row r="5" spans="1:10" x14ac:dyDescent="0.3">
      <c r="A5" s="111">
        <f ca="1">NOW()</f>
        <v>43249.479866550922</v>
      </c>
      <c r="B5" s="112"/>
      <c r="C5" s="113"/>
      <c r="E5" s="37" t="s">
        <v>34</v>
      </c>
      <c r="F5" s="35" t="b">
        <v>1</v>
      </c>
      <c r="G5" s="31"/>
      <c r="H5" s="38"/>
    </row>
    <row r="6" spans="1:10" x14ac:dyDescent="0.3">
      <c r="A6" s="117">
        <f ca="1">NOW()</f>
        <v>43249.479866550922</v>
      </c>
      <c r="B6" s="118"/>
      <c r="C6" s="119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2" t="s">
        <v>44</v>
      </c>
      <c r="B8" s="103"/>
      <c r="C8" s="104"/>
      <c r="E8" s="102" t="s">
        <v>43</v>
      </c>
      <c r="F8" s="103"/>
      <c r="G8" s="104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25">
        <v>42796</v>
      </c>
      <c r="C9" s="126"/>
      <c r="E9" s="59" t="s">
        <v>48</v>
      </c>
      <c r="F9" s="123">
        <v>34567</v>
      </c>
      <c r="G9" s="124"/>
    </row>
    <row r="10" spans="1:10" x14ac:dyDescent="0.3">
      <c r="A10" s="136">
        <f>B9</f>
        <v>42796</v>
      </c>
      <c r="B10" s="137"/>
      <c r="C10" s="138"/>
      <c r="E10" s="114">
        <f>$F$9</f>
        <v>34567</v>
      </c>
      <c r="F10" s="115"/>
      <c r="G10" s="116"/>
    </row>
    <row r="11" spans="1:10" x14ac:dyDescent="0.3">
      <c r="A11" s="105">
        <f>B9</f>
        <v>42796</v>
      </c>
      <c r="B11" s="106"/>
      <c r="C11" s="107"/>
      <c r="E11" s="127">
        <f t="shared" ref="E11:E16" si="0">$F$9</f>
        <v>34567</v>
      </c>
      <c r="F11" s="128"/>
      <c r="G11" s="129"/>
    </row>
    <row r="12" spans="1:10" x14ac:dyDescent="0.3">
      <c r="A12" s="111">
        <f>B9</f>
        <v>42796</v>
      </c>
      <c r="B12" s="112"/>
      <c r="C12" s="113"/>
      <c r="E12" s="145">
        <f t="shared" si="0"/>
        <v>34567</v>
      </c>
      <c r="F12" s="146"/>
      <c r="G12" s="147"/>
    </row>
    <row r="13" spans="1:10" x14ac:dyDescent="0.3">
      <c r="A13" s="139">
        <f>B9</f>
        <v>42796</v>
      </c>
      <c r="B13" s="140"/>
      <c r="C13" s="141"/>
      <c r="E13" s="130">
        <f t="shared" si="0"/>
        <v>34567</v>
      </c>
      <c r="F13" s="131"/>
      <c r="G13" s="132"/>
    </row>
    <row r="14" spans="1:10" x14ac:dyDescent="0.3">
      <c r="A14" s="133">
        <f>A10</f>
        <v>42796</v>
      </c>
      <c r="B14" s="134"/>
      <c r="C14" s="135"/>
      <c r="E14" s="142">
        <f t="shared" si="0"/>
        <v>34567</v>
      </c>
      <c r="F14" s="143"/>
      <c r="G14" s="144"/>
    </row>
    <row r="15" spans="1:10" x14ac:dyDescent="0.3">
      <c r="E15" s="96">
        <f t="shared" si="0"/>
        <v>34567</v>
      </c>
      <c r="F15" s="97"/>
      <c r="G15" s="98"/>
    </row>
    <row r="16" spans="1:10" x14ac:dyDescent="0.3">
      <c r="A16" s="58" t="s">
        <v>45</v>
      </c>
      <c r="B16" s="58" t="s">
        <v>46</v>
      </c>
      <c r="C16" s="58" t="s">
        <v>47</v>
      </c>
      <c r="E16" s="99">
        <f t="shared" si="0"/>
        <v>34567</v>
      </c>
      <c r="F16" s="100"/>
      <c r="G16" s="101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85</v>
      </c>
      <c r="C1" s="10" t="s">
        <v>4</v>
      </c>
      <c r="D1" t="s">
        <v>86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2018-05-29T03:31:23Z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