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showInkAnnotation="0" codeName="ThisWorkbook" defaultThemeVersion="164011"/>
  <bookViews>
    <workbookView xWindow="0" yWindow="0" windowWidth="22260" windowHeight="12645"/>
  </bookViews>
  <sheets>
    <sheet name="编辑订单" sheetId="3" r:id="rId1"/>
    <sheet name="预览订单" sheetId="4" r:id="rId2"/>
    <sheet name="查询订单" sheetId="5" r:id="rId3"/>
    <sheet name="所有商品" sheetId="7" r:id="rId4"/>
    <sheet name="客户经理" sheetId="11" r:id="rId5"/>
    <sheet name="生成合同" sheetId="12" r:id="rId6"/>
    <sheet name="最终订单" sheetId="10" r:id="rId7"/>
    <sheet name="小工具" sheetId="8" r:id="rId8"/>
    <sheet name="存储价格" sheetId="6" r:id="rId9"/>
  </sheets>
  <functionGroups builtInGroupCount="18">
    <functionGroup name="xlwings"/>
  </functionGroups>
  <definedNames>
    <definedName name="_xlnm._FilterDatabase" localSheetId="0" hidden="1">编辑订单!$A$1:$L$109</definedName>
    <definedName name="_xlnm._FilterDatabase" localSheetId="2" hidden="1">查询订单!$D$1:$N$3</definedName>
    <definedName name="_xlcn.ModelConnection_For_prod.xlsmdb_pricer.t_order_component1" hidden="1">[0]!db_pricer.t_order_component</definedName>
    <definedName name="_xlcn.ModelConnection_For_prod.xlsmdb_pricer.t_product1" hidden="1">[0]!db_pricer.t_product</definedName>
  </definedNames>
  <calcPr calcId="162913"/>
  <extLst>
    <ext xmlns:x14="http://schemas.microsoft.com/office/spreadsheetml/2009/9/main" uri="{8193D73E-4604-4355-AFF4-8A2333D13BE4}">
      <x14:definedNames>
        <x14:definedName name="cn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_add_two_numb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b_pricer t_product" name="db_pricer t_product" connection="ModelConnection_For_prod.xlsm!db_pricer.t_product"/>
          <x15:modelTable id="db_pricer t_order_component" name="db_pricer t_order_component" connection="ModelConnection_For_prod.xlsm!db_pricer.t_order_component"/>
        </x15:modelTables>
      </x15:dataModel>
    </ext>
  </extLst>
</workbook>
</file>

<file path=xl/calcChain.xml><?xml version="1.0" encoding="utf-8"?>
<calcChain xmlns="http://schemas.openxmlformats.org/spreadsheetml/2006/main">
  <c r="K2" i="3" l="1"/>
  <c r="L2" i="3" s="1"/>
  <c r="K3" i="3"/>
  <c r="L3" i="3" s="1"/>
  <c r="K4" i="3"/>
  <c r="L4" i="3" s="1"/>
  <c r="K5" i="3"/>
  <c r="L5" i="3" s="1"/>
  <c r="K6" i="3"/>
  <c r="L6" i="3" s="1"/>
  <c r="K7" i="3"/>
  <c r="L7" i="3" s="1"/>
  <c r="K8" i="3"/>
  <c r="L8" i="3" s="1"/>
  <c r="K9" i="3"/>
  <c r="L9" i="3" s="1"/>
  <c r="K10" i="3"/>
  <c r="L10" i="3" s="1"/>
  <c r="K11" i="3"/>
  <c r="L11" i="3" s="1"/>
  <c r="K12" i="3"/>
  <c r="L12" i="3" s="1"/>
  <c r="K13" i="3"/>
  <c r="L13" i="3" s="1"/>
  <c r="K14" i="3"/>
  <c r="L14" i="3" s="1"/>
  <c r="K15" i="3"/>
  <c r="L15" i="3" s="1"/>
  <c r="K16" i="3"/>
  <c r="L16" i="3" s="1"/>
  <c r="K17" i="3"/>
  <c r="L17" i="3" s="1"/>
  <c r="K18" i="3"/>
  <c r="L18" i="3" s="1"/>
  <c r="K19" i="3"/>
  <c r="L19" i="3" s="1"/>
  <c r="K20" i="3"/>
  <c r="L20" i="3" s="1"/>
  <c r="K21" i="3"/>
  <c r="L21" i="3" s="1"/>
  <c r="K22" i="3"/>
  <c r="L22" i="3" s="1"/>
  <c r="K23" i="3"/>
  <c r="L23" i="3" s="1"/>
  <c r="K24" i="3"/>
  <c r="L24" i="3" s="1"/>
  <c r="K25" i="3"/>
  <c r="L25" i="3" s="1"/>
  <c r="K26" i="3"/>
  <c r="L26" i="3" s="1"/>
  <c r="K27" i="3"/>
  <c r="L27" i="3" s="1"/>
  <c r="K28" i="3"/>
  <c r="L28" i="3" s="1"/>
  <c r="K29" i="3"/>
  <c r="L29" i="3" s="1"/>
  <c r="K30" i="3"/>
  <c r="L30" i="3" s="1"/>
  <c r="K31" i="3"/>
  <c r="L31" i="3" s="1"/>
  <c r="K32" i="3"/>
  <c r="L32" i="3" s="1"/>
  <c r="K33" i="3"/>
  <c r="L33" i="3" s="1"/>
  <c r="K34" i="3"/>
  <c r="L34" i="3" s="1"/>
  <c r="K35" i="3"/>
  <c r="L35" i="3" s="1"/>
  <c r="K36" i="3"/>
  <c r="L36" i="3" s="1"/>
  <c r="K37" i="3"/>
  <c r="L37" i="3" s="1"/>
  <c r="K38" i="3"/>
  <c r="L38" i="3" s="1"/>
  <c r="K39" i="3"/>
  <c r="L39" i="3" s="1"/>
  <c r="K40" i="3"/>
  <c r="L40" i="3" s="1"/>
  <c r="K41" i="3"/>
  <c r="L41" i="3" s="1"/>
  <c r="K42" i="3"/>
  <c r="L42" i="3" s="1"/>
  <c r="K43" i="3"/>
  <c r="L43" i="3" s="1"/>
  <c r="K44" i="3"/>
  <c r="L44" i="3" s="1"/>
  <c r="K45" i="3"/>
  <c r="L45" i="3" s="1"/>
  <c r="K46" i="3"/>
  <c r="L46" i="3" s="1"/>
  <c r="K47" i="3"/>
  <c r="L47" i="3" s="1"/>
  <c r="K48" i="3"/>
  <c r="L48" i="3" s="1"/>
  <c r="K49" i="3"/>
  <c r="L49" i="3" s="1"/>
  <c r="K50" i="3"/>
  <c r="L50" i="3" s="1"/>
  <c r="K51" i="3"/>
  <c r="L51" i="3" s="1"/>
  <c r="K52" i="3"/>
  <c r="L52" i="3" s="1"/>
  <c r="K53" i="3"/>
  <c r="L53" i="3" s="1"/>
  <c r="K54" i="3"/>
  <c r="L54" i="3" s="1"/>
  <c r="K55" i="3"/>
  <c r="L55" i="3" s="1"/>
  <c r="K56" i="3"/>
  <c r="L56" i="3" s="1"/>
  <c r="K57" i="3"/>
  <c r="L57" i="3" s="1"/>
  <c r="K58" i="3"/>
  <c r="L58" i="3" s="1"/>
  <c r="K59" i="3"/>
  <c r="L59" i="3" s="1"/>
  <c r="K60" i="3"/>
  <c r="L60" i="3" s="1"/>
  <c r="K61" i="3"/>
  <c r="L61" i="3" s="1"/>
  <c r="K62" i="3"/>
  <c r="L62" i="3" s="1"/>
  <c r="K63" i="3"/>
  <c r="L63" i="3" s="1"/>
  <c r="K64" i="3"/>
  <c r="L64" i="3" s="1"/>
  <c r="K65" i="3"/>
  <c r="L65" i="3" s="1"/>
  <c r="K66" i="3"/>
  <c r="L66" i="3" s="1"/>
  <c r="K67" i="3"/>
  <c r="L67" i="3" s="1"/>
  <c r="K68" i="3"/>
  <c r="L68" i="3" s="1"/>
  <c r="K69" i="3"/>
  <c r="L69" i="3" s="1"/>
  <c r="K70" i="3"/>
  <c r="L70" i="3" s="1"/>
  <c r="K71" i="3"/>
  <c r="L71" i="3" s="1"/>
  <c r="K72" i="3"/>
  <c r="L72" i="3" s="1"/>
  <c r="K73" i="3"/>
  <c r="L73" i="3" s="1"/>
  <c r="K74" i="3"/>
  <c r="L74" i="3" s="1"/>
  <c r="K75" i="3"/>
  <c r="L75" i="3" s="1"/>
  <c r="K76" i="3"/>
  <c r="L76" i="3" s="1"/>
  <c r="K77" i="3"/>
  <c r="L77" i="3" s="1"/>
  <c r="K78" i="3"/>
  <c r="L78" i="3" s="1"/>
  <c r="K79" i="3"/>
  <c r="L79" i="3" s="1"/>
  <c r="K80" i="3"/>
  <c r="L80" i="3" s="1"/>
  <c r="K81" i="3"/>
  <c r="L81" i="3" s="1"/>
  <c r="K82" i="3"/>
  <c r="L82" i="3" s="1"/>
  <c r="K83" i="3"/>
  <c r="L83" i="3" s="1"/>
  <c r="K84" i="3"/>
  <c r="L84" i="3" s="1"/>
  <c r="K85" i="3"/>
  <c r="L85" i="3" s="1"/>
  <c r="K86" i="3"/>
  <c r="L86" i="3" s="1"/>
  <c r="K87" i="3"/>
  <c r="L87" i="3" s="1"/>
  <c r="K88" i="3"/>
  <c r="L88" i="3" s="1"/>
  <c r="K89" i="3"/>
  <c r="L89" i="3" s="1"/>
  <c r="K90" i="3"/>
  <c r="L90" i="3" s="1"/>
  <c r="K91" i="3"/>
  <c r="L91" i="3" s="1"/>
  <c r="K92" i="3"/>
  <c r="L92" i="3" s="1"/>
  <c r="K93" i="3"/>
  <c r="L93" i="3" s="1"/>
  <c r="K94" i="3"/>
  <c r="L94" i="3" s="1"/>
  <c r="K95" i="3"/>
  <c r="L95" i="3" s="1"/>
  <c r="K96" i="3"/>
  <c r="L96" i="3" s="1"/>
  <c r="K97" i="3"/>
  <c r="L97" i="3" s="1"/>
  <c r="K98" i="3"/>
  <c r="L98" i="3" s="1"/>
  <c r="K99" i="3"/>
  <c r="L99" i="3" s="1"/>
  <c r="K100" i="3"/>
  <c r="L100" i="3" s="1"/>
  <c r="K101" i="3"/>
  <c r="L101" i="3" s="1"/>
  <c r="K102" i="3"/>
  <c r="L102" i="3" s="1"/>
  <c r="K103" i="3"/>
  <c r="L103" i="3" s="1"/>
  <c r="K104" i="3"/>
  <c r="L104" i="3" s="1"/>
  <c r="K105" i="3"/>
  <c r="L105" i="3" s="1"/>
  <c r="K106" i="3"/>
  <c r="L106" i="3" s="1"/>
  <c r="K107" i="3"/>
  <c r="L107" i="3" s="1"/>
  <c r="K108" i="3"/>
  <c r="L108" i="3" s="1"/>
  <c r="K109" i="3"/>
  <c r="L109" i="3" s="1"/>
  <c r="D3" i="6" l="1"/>
  <c r="D2" i="6"/>
  <c r="G2" i="6"/>
  <c r="F2" i="6"/>
  <c r="C3" i="6"/>
  <c r="C2" i="6"/>
  <c r="B2" i="5" l="1"/>
  <c r="O2" i="4" l="1"/>
  <c r="B3" i="5"/>
  <c r="E16" i="8"/>
  <c r="E15" i="8"/>
  <c r="E14" i="8"/>
  <c r="E12" i="8"/>
  <c r="E11" i="8"/>
  <c r="E13" i="8"/>
  <c r="E10" i="8"/>
  <c r="B18" i="8"/>
  <c r="C17" i="8" l="1"/>
  <c r="I8" i="8"/>
  <c r="A10" i="8"/>
  <c r="A14" i="8" s="1"/>
  <c r="A6" i="8"/>
  <c r="A2" i="8"/>
  <c r="A5" i="8"/>
  <c r="A3" i="8"/>
  <c r="A4" i="8"/>
  <c r="F6" i="8"/>
  <c r="A13" i="8" l="1"/>
  <c r="A12" i="8"/>
  <c r="A11" i="8"/>
  <c r="O1" i="4" l="1"/>
  <c r="O5" i="4" s="1"/>
  <c r="O17" i="4"/>
  <c r="O9" i="4"/>
  <c r="O1" i="3" l="1"/>
</calcChain>
</file>

<file path=xl/connections.xml><?xml version="1.0" encoding="utf-8"?>
<connections xmlns="http://schemas.openxmlformats.org/spreadsheetml/2006/main">
  <connection id="1" name="ModelConnection_For_prod.xlsm!db_pricer.t_order_componen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order_component">
          <x15:rangePr sourceName="_xlcn.ModelConnection_For_prod.xlsmdb_pricer.t_order_component1"/>
        </x15:connection>
      </ext>
    </extLst>
  </connection>
  <connection id="2" name="ModelConnection_For_prod.xlsm!db_pricer.t_produc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product">
          <x15:rangePr sourceName="_xlcn.ModelConnection_For_prod.xlsmdb_pricer.t_product1"/>
        </x15:connection>
      </ext>
    </extLst>
  </connection>
  <connection id="3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<sst xmlns="http://schemas.openxmlformats.org/spreadsheetml/2006/main" count="186" uniqueCount="107">
  <si>
    <t>单项价格</t>
    <phoneticPr fontId="1" type="noConversion"/>
  </si>
  <si>
    <t>下单时间</t>
  </si>
  <si>
    <t>产品编号</t>
    <phoneticPr fontId="1" type="noConversion"/>
  </si>
  <si>
    <t>FC_SAN</t>
    <phoneticPr fontId="1" type="noConversion"/>
  </si>
  <si>
    <t>价格</t>
    <phoneticPr fontId="1" type="noConversion"/>
  </si>
  <si>
    <t>IP_SAN</t>
    <phoneticPr fontId="1" type="noConversion"/>
  </si>
  <si>
    <t>存储服务</t>
    <phoneticPr fontId="1" type="noConversion"/>
  </si>
  <si>
    <t>特殊类别</t>
    <phoneticPr fontId="1" type="noConversion"/>
  </si>
  <si>
    <t>产品类别</t>
    <phoneticPr fontId="1" type="noConversion"/>
  </si>
  <si>
    <t>产品简称</t>
    <phoneticPr fontId="1" type="noConversion"/>
  </si>
  <si>
    <t>产品名称</t>
    <phoneticPr fontId="1" type="noConversion"/>
  </si>
  <si>
    <t>产品品牌</t>
    <phoneticPr fontId="1" type="noConversion"/>
  </si>
  <si>
    <t>规格描述</t>
    <phoneticPr fontId="1" type="noConversion"/>
  </si>
  <si>
    <t>报价单位</t>
    <phoneticPr fontId="1" type="noConversion"/>
  </si>
  <si>
    <t>单价随着数量而变化</t>
    <phoneticPr fontId="1" type="noConversion"/>
  </si>
  <si>
    <t>投标报价</t>
    <phoneticPr fontId="1" type="noConversion"/>
  </si>
  <si>
    <t>产品量词</t>
    <phoneticPr fontId="1" type="noConversion"/>
  </si>
  <si>
    <t>预定数量</t>
    <phoneticPr fontId="1" type="noConversion"/>
  </si>
  <si>
    <t>预定年限</t>
    <phoneticPr fontId="1" type="noConversion"/>
  </si>
  <si>
    <t>投标报价公式</t>
    <phoneticPr fontId="1" type="noConversion"/>
  </si>
  <si>
    <t>产品编号</t>
  </si>
  <si>
    <t>产品类别</t>
  </si>
  <si>
    <t>产品简称</t>
  </si>
  <si>
    <t>产品名称</t>
  </si>
  <si>
    <t>产品品牌</t>
  </si>
  <si>
    <t>规格描述</t>
  </si>
  <si>
    <t>投标报价</t>
  </si>
  <si>
    <t>报价单位</t>
  </si>
  <si>
    <t>简要描述</t>
  </si>
  <si>
    <t>产品量词</t>
  </si>
  <si>
    <t>金额</t>
    <phoneticPr fontId="1" type="noConversion"/>
  </si>
  <si>
    <t>输出</t>
    <phoneticPr fontId="1" type="noConversion"/>
  </si>
  <si>
    <t>大写</t>
    <phoneticPr fontId="1" type="noConversion"/>
  </si>
  <si>
    <t>元/圆</t>
    <phoneticPr fontId="1" type="noConversion"/>
  </si>
  <si>
    <t>人民币</t>
    <phoneticPr fontId="1" type="noConversion"/>
  </si>
  <si>
    <t>金额转人民币（Manu-Input）</t>
    <phoneticPr fontId="1" type="noConversion"/>
  </si>
  <si>
    <t>订单金额</t>
    <phoneticPr fontId="1" type="noConversion"/>
  </si>
  <si>
    <t>金额转人民币（Auto-Input）</t>
    <phoneticPr fontId="1" type="noConversion"/>
  </si>
  <si>
    <t>单项价格</t>
    <phoneticPr fontId="1" type="noConversion"/>
  </si>
  <si>
    <t>日期（Auto-Input)</t>
    <phoneticPr fontId="1" type="noConversion"/>
  </si>
  <si>
    <t>大写</t>
    <phoneticPr fontId="1" type="noConversion"/>
  </si>
  <si>
    <t>IF(ISNUMBER(F2),IF(INT(F2),TEXT(INT(F2),"[dbnum2]")&amp;"圆","")&amp;IF(MOD(INT(F2*10),10),TEXT(MOD(INT(F2*10),10),"[dbnum2]")&amp;"角",IF(INT(F2)=F2,,IF(F2&lt;0.1,,"零")))&amp;IF(MOD(INT(F2*100),10),TEXT(MOD(INT(F2*100),10),"[dbnum2]")&amp;"分",""),"")</t>
    <phoneticPr fontId="1" type="noConversion"/>
  </si>
  <si>
    <t>金额转人民币（Manu-Input）</t>
    <phoneticPr fontId="1" type="noConversion"/>
  </si>
  <si>
    <t>数字（Maun-Input)</t>
    <phoneticPr fontId="1" type="noConversion"/>
  </si>
  <si>
    <t>日期（Maun-Input)</t>
    <phoneticPr fontId="1" type="noConversion"/>
  </si>
  <si>
    <t>BEGIN</t>
    <phoneticPr fontId="1" type="noConversion"/>
  </si>
  <si>
    <t>END</t>
    <phoneticPr fontId="1" type="noConversion"/>
  </si>
  <si>
    <t>DELTA</t>
    <phoneticPr fontId="1" type="noConversion"/>
  </si>
  <si>
    <t>INPUT</t>
    <phoneticPr fontId="1" type="noConversion"/>
  </si>
  <si>
    <t>订单编号</t>
  </si>
  <si>
    <t>联系方式</t>
  </si>
  <si>
    <t>查询订单</t>
    <phoneticPr fontId="1" type="noConversion"/>
  </si>
  <si>
    <t>订单编号</t>
    <phoneticPr fontId="1" type="noConversion"/>
  </si>
  <si>
    <t>是否存在</t>
    <phoneticPr fontId="1" type="noConversion"/>
  </si>
  <si>
    <t>IFERROR(IF(OR(C2="FC-SAN",C2="IP-SAN"),StoragePrice(D2,I2)/I2,VLOOKUP(A2,所有商品!A:L,7,FALSE)),0)</t>
    <phoneticPr fontId="1" type="noConversion"/>
  </si>
  <si>
    <t>单位名称</t>
  </si>
  <si>
    <t>客户经理</t>
  </si>
  <si>
    <t>客户经理邮箱</t>
  </si>
  <si>
    <t>客户经理手机</t>
  </si>
  <si>
    <t>电子邮箱</t>
  </si>
  <si>
    <t>联系人</t>
  </si>
  <si>
    <t>服务期限</t>
  </si>
  <si>
    <t>订单金额</t>
  </si>
  <si>
    <t>预定数量</t>
  </si>
  <si>
    <t>预定年限</t>
  </si>
  <si>
    <t>单项价格</t>
  </si>
  <si>
    <t>确认时间</t>
  </si>
  <si>
    <t>订单状态</t>
  </si>
  <si>
    <t>订单价格</t>
  </si>
  <si>
    <t>编号</t>
  </si>
  <si>
    <t>姓名</t>
  </si>
  <si>
    <t>登录账号</t>
  </si>
  <si>
    <t>激活</t>
  </si>
  <si>
    <t>订单编号</t>
    <phoneticPr fontId="1" type="noConversion"/>
  </si>
  <si>
    <t>订单编号</t>
    <phoneticPr fontId="1" type="noConversion"/>
  </si>
  <si>
    <t>工单号</t>
  </si>
  <si>
    <t>户名</t>
  </si>
  <si>
    <t>价格合计</t>
  </si>
  <si>
    <t>甲方</t>
  </si>
  <si>
    <t>联系电话</t>
  </si>
  <si>
    <t>传真号码</t>
  </si>
  <si>
    <t>通讯地址</t>
  </si>
  <si>
    <t>纳税人识别号</t>
  </si>
  <si>
    <t>总价大写</t>
  </si>
  <si>
    <t>履约期限</t>
  </si>
  <si>
    <t>容量（100 GB）</t>
    <phoneticPr fontId="1" type="noConversion"/>
  </si>
  <si>
    <t>单位报价（每100GB）</t>
    <phoneticPr fontId="1" type="noConversion"/>
  </si>
  <si>
    <r>
      <rPr>
        <b/>
        <sz val="20"/>
        <color rgb="FFFF0000"/>
        <rFont val="微软雅黑"/>
        <family val="2"/>
        <charset val="134"/>
      </rPr>
      <t>小心</t>
    </r>
    <r>
      <rPr>
        <b/>
        <sz val="10"/>
        <color rgb="FFFF0000"/>
        <rFont val="微软雅黑"/>
        <family val="2"/>
        <charset val="134"/>
      </rPr>
      <t>。这将</t>
    </r>
    <r>
      <rPr>
        <b/>
        <sz val="11"/>
        <color rgb="FFFF0000"/>
        <rFont val="微软雅黑"/>
        <family val="2"/>
        <charset val="134"/>
      </rPr>
      <t>更新数据库，请确认</t>
    </r>
    <r>
      <rPr>
        <b/>
        <sz val="20"/>
        <color rgb="FFFF0000"/>
        <rFont val="微软雅黑"/>
        <family val="2"/>
        <charset val="134"/>
      </rPr>
      <t>订单号</t>
    </r>
    <r>
      <rPr>
        <b/>
        <sz val="11"/>
        <color rgb="FFFF0000"/>
        <rFont val="微软雅黑"/>
        <family val="2"/>
        <charset val="134"/>
      </rPr>
      <t>！</t>
    </r>
    <phoneticPr fontId="1" type="noConversion"/>
  </si>
  <si>
    <t>客户经理编号</t>
  </si>
  <si>
    <t>两方合同信息（录入参考）</t>
    <phoneticPr fontId="1" type="noConversion"/>
  </si>
  <si>
    <t>三方合同信息（录入参考）</t>
    <phoneticPr fontId="1" type="noConversion"/>
  </si>
  <si>
    <t>甲方电话</t>
  </si>
  <si>
    <t>甲方传真</t>
  </si>
  <si>
    <t>甲方地址</t>
  </si>
  <si>
    <t>丙方</t>
  </si>
  <si>
    <t>丙方电话</t>
  </si>
  <si>
    <t>丙方传真</t>
  </si>
  <si>
    <t>丙方地址</t>
  </si>
  <si>
    <t>丙方纳税人识别号</t>
  </si>
  <si>
    <t>丙方户名</t>
  </si>
  <si>
    <t>丙方账户</t>
  </si>
  <si>
    <t>丙方开户行</t>
  </si>
  <si>
    <t>合同编号</t>
  </si>
  <si>
    <t>两方合同</t>
    <phoneticPr fontId="1" type="noConversion"/>
  </si>
  <si>
    <t>三方合同</t>
    <phoneticPr fontId="1" type="noConversion"/>
  </si>
  <si>
    <t>丙方开票电话</t>
  </si>
  <si>
    <t>工单号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</si>
</sst>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7" formatCode="&quot;¥&quot;#,##0.00;&quot;¥&quot;\-#,##0.00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&quot;¥&quot;#,##0.00_);[Red]\(&quot;¥&quot;#,##0.00\)"/>
    <numFmt numFmtId="177" formatCode="yyyy/mm/dd\ hh:mm:ss"/>
    <numFmt numFmtId="178" formatCode="[$-F800]dddd\,\ mmmm\ dd\,\ yyyy"/>
    <numFmt numFmtId="179" formatCode="[$-F400]h:mm:ss\ AM/PM"/>
    <numFmt numFmtId="180" formatCode="[DBNum1][$-804]yyyy&quot;年&quot;m&quot;月&quot;d&quot;日&quot;;@"/>
    <numFmt numFmtId="181" formatCode="[$-804]aaaa;@"/>
    <numFmt numFmtId="182" formatCode="[DBNum2][$-804]General"/>
    <numFmt numFmtId="183" formatCode="yyyy/mm/dd"/>
    <numFmt numFmtId="184" formatCode="[DBNum1][$-804]General"/>
    <numFmt numFmtId="185" formatCode="000000"/>
  </numFmts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3F3F76"/>
      <name val="等线"/>
      <family val="2"/>
      <charset val="134"/>
      <scheme val="minor"/>
    </font>
    <font>
      <sz val="11"/>
      <color rgb="FF3F3F76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4" tint="-0.499984740745262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00206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1"/>
      <name val="等线"/>
      <family val="2"/>
      <scheme val="minor"/>
    </font>
    <font>
      <sz val="12"/>
      <color rgb="FF333333"/>
      <name val="微软雅黑"/>
      <family val="2"/>
      <charset val="134"/>
    </font>
    <font>
      <b/>
      <sz val="11"/>
      <color rgb="FF3F3F76"/>
      <name val="微软雅黑"/>
      <family val="2"/>
      <charset val="134"/>
    </font>
    <font>
      <b/>
      <sz val="20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0" fontId="6" fillId="3" borderId="2" applyNumberFormat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</cellStyleXfs>
  <cellXfs count="152">
    <xf numFmtId="0" fontId="0" fillId="0" borderId="0" xfId="0"/>
    <xf numFmtId="0" fontId="2" fillId="0" borderId="0" xfId="0" applyFont="1"/>
    <xf numFmtId="0" fontId="2" fillId="0" borderId="0" xfId="0" applyFont="1" applyFill="1"/>
    <xf numFmtId="0" fontId="4" fillId="2" borderId="1" xfId="0" applyFont="1" applyFill="1" applyBorder="1" applyAlignment="1">
      <alignment horizontal="left"/>
    </xf>
    <xf numFmtId="0" fontId="2" fillId="0" borderId="1" xfId="0" applyFont="1" applyFill="1" applyBorder="1"/>
    <xf numFmtId="44" fontId="4" fillId="2" borderId="1" xfId="0" applyNumberFormat="1" applyFont="1" applyFill="1" applyBorder="1" applyAlignment="1">
      <alignment horizontal="left"/>
    </xf>
    <xf numFmtId="44" fontId="2" fillId="0" borderId="0" xfId="0" applyNumberFormat="1" applyFont="1"/>
    <xf numFmtId="44" fontId="4" fillId="2" borderId="0" xfId="0" applyNumberFormat="1" applyFont="1" applyFill="1" applyAlignment="1">
      <alignment horizontal="left"/>
    </xf>
    <xf numFmtId="0" fontId="2" fillId="0" borderId="1" xfId="0" applyFont="1" applyBorder="1"/>
    <xf numFmtId="0" fontId="7" fillId="3" borderId="1" xfId="1" applyFont="1" applyBorder="1" applyAlignment="1"/>
    <xf numFmtId="44" fontId="0" fillId="0" borderId="0" xfId="0" applyNumberFormat="1"/>
    <xf numFmtId="0" fontId="8" fillId="4" borderId="1" xfId="0" applyFont="1" applyFill="1" applyBorder="1"/>
    <xf numFmtId="0" fontId="2" fillId="0" borderId="0" xfId="0" applyFont="1" applyBorder="1"/>
    <xf numFmtId="0" fontId="4" fillId="2" borderId="3" xfId="0" applyFont="1" applyFill="1" applyBorder="1" applyAlignment="1">
      <alignment horizontal="left"/>
    </xf>
    <xf numFmtId="0" fontId="2" fillId="0" borderId="3" xfId="0" applyFont="1" applyBorder="1"/>
    <xf numFmtId="44" fontId="4" fillId="2" borderId="3" xfId="0" applyNumberFormat="1" applyFont="1" applyFill="1" applyBorder="1" applyAlignment="1">
      <alignment horizontal="left"/>
    </xf>
    <xf numFmtId="49" fontId="4" fillId="2" borderId="3" xfId="0" applyNumberFormat="1" applyFont="1" applyFill="1" applyBorder="1" applyAlignment="1">
      <alignment horizontal="left"/>
    </xf>
    <xf numFmtId="0" fontId="8" fillId="0" borderId="3" xfId="0" applyFont="1" applyBorder="1" applyAlignment="1"/>
    <xf numFmtId="0" fontId="2" fillId="0" borderId="3" xfId="0" applyFont="1" applyBorder="1" applyAlignment="1"/>
    <xf numFmtId="44" fontId="2" fillId="0" borderId="3" xfId="0" applyNumberFormat="1" applyFont="1" applyBorder="1" applyAlignment="1"/>
    <xf numFmtId="49" fontId="2" fillId="0" borderId="3" xfId="0" applyNumberFormat="1" applyFont="1" applyBorder="1" applyAlignment="1"/>
    <xf numFmtId="22" fontId="2" fillId="0" borderId="3" xfId="0" applyNumberFormat="1" applyFont="1" applyBorder="1" applyAlignment="1"/>
    <xf numFmtId="0" fontId="2" fillId="0" borderId="3" xfId="0" applyFont="1" applyFill="1" applyBorder="1" applyAlignment="1"/>
    <xf numFmtId="0" fontId="2" fillId="0" borderId="4" xfId="0" applyFont="1" applyBorder="1"/>
    <xf numFmtId="7" fontId="2" fillId="0" borderId="3" xfId="0" applyNumberFormat="1" applyFont="1" applyBorder="1"/>
    <xf numFmtId="44" fontId="2" fillId="0" borderId="3" xfId="0" applyNumberFormat="1" applyFont="1" applyBorder="1"/>
    <xf numFmtId="0" fontId="2" fillId="0" borderId="0" xfId="0" applyFont="1" applyFill="1" applyBorder="1"/>
    <xf numFmtId="0" fontId="10" fillId="0" borderId="0" xfId="0" applyFont="1"/>
    <xf numFmtId="176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Border="1" applyAlignment="1"/>
    <xf numFmtId="0" fontId="13" fillId="5" borderId="3" xfId="0" applyFont="1" applyFill="1" applyBorder="1"/>
    <xf numFmtId="0" fontId="13" fillId="5" borderId="3" xfId="0" applyFont="1" applyFill="1" applyBorder="1" applyAlignment="1"/>
    <xf numFmtId="44" fontId="12" fillId="6" borderId="3" xfId="0" applyNumberFormat="1" applyFont="1" applyFill="1" applyBorder="1" applyAlignment="1">
      <alignment horizontal="left"/>
    </xf>
    <xf numFmtId="0" fontId="11" fillId="0" borderId="0" xfId="0" applyFont="1" applyFill="1" applyBorder="1" applyAlignment="1">
      <alignment vertical="center" wrapText="1"/>
    </xf>
    <xf numFmtId="0" fontId="15" fillId="5" borderId="3" xfId="0" applyFont="1" applyFill="1" applyBorder="1"/>
    <xf numFmtId="44" fontId="2" fillId="0" borderId="5" xfId="0" applyNumberFormat="1" applyFont="1" applyBorder="1"/>
    <xf numFmtId="0" fontId="2" fillId="5" borderId="13" xfId="0" applyFont="1" applyFill="1" applyBorder="1"/>
    <xf numFmtId="0" fontId="13" fillId="5" borderId="15" xfId="0" applyFont="1" applyFill="1" applyBorder="1"/>
    <xf numFmtId="0" fontId="13" fillId="5" borderId="15" xfId="0" applyFont="1" applyFill="1" applyBorder="1" applyAlignment="1"/>
    <xf numFmtId="0" fontId="2" fillId="5" borderId="16" xfId="0" applyFont="1" applyFill="1" applyBorder="1" applyAlignment="1"/>
    <xf numFmtId="0" fontId="16" fillId="5" borderId="17" xfId="0" applyFont="1" applyFill="1" applyBorder="1" applyAlignment="1"/>
    <xf numFmtId="0" fontId="13" fillId="5" borderId="18" xfId="0" applyFont="1" applyFill="1" applyBorder="1" applyAlignment="1"/>
    <xf numFmtId="0" fontId="13" fillId="5" borderId="19" xfId="0" applyFont="1" applyFill="1" applyBorder="1" applyAlignment="1"/>
    <xf numFmtId="44" fontId="2" fillId="0" borderId="9" xfId="0" applyNumberFormat="1" applyFont="1" applyBorder="1"/>
    <xf numFmtId="44" fontId="2" fillId="0" borderId="0" xfId="0" applyNumberFormat="1" applyFont="1" applyBorder="1"/>
    <xf numFmtId="44" fontId="4" fillId="2" borderId="5" xfId="0" applyNumberFormat="1" applyFont="1" applyFill="1" applyBorder="1" applyAlignment="1">
      <alignment horizontal="left"/>
    </xf>
    <xf numFmtId="44" fontId="12" fillId="6" borderId="21" xfId="0" applyNumberFormat="1" applyFont="1" applyFill="1" applyBorder="1" applyAlignment="1">
      <alignment horizontal="left"/>
    </xf>
    <xf numFmtId="44" fontId="4" fillId="0" borderId="20" xfId="0" applyNumberFormat="1" applyFont="1" applyFill="1" applyBorder="1" applyAlignment="1">
      <alignment horizontal="left"/>
    </xf>
    <xf numFmtId="44" fontId="2" fillId="0" borderId="20" xfId="0" applyNumberFormat="1" applyFont="1" applyBorder="1"/>
    <xf numFmtId="44" fontId="4" fillId="0" borderId="0" xfId="0" applyNumberFormat="1" applyFont="1" applyFill="1" applyBorder="1" applyAlignment="1">
      <alignment horizontal="left"/>
    </xf>
    <xf numFmtId="177" fontId="4" fillId="2" borderId="3" xfId="0" applyNumberFormat="1" applyFont="1" applyFill="1" applyBorder="1" applyAlignment="1">
      <alignment horizontal="left"/>
    </xf>
    <xf numFmtId="177" fontId="2" fillId="0" borderId="3" xfId="0" applyNumberFormat="1" applyFont="1" applyBorder="1" applyAlignment="1"/>
    <xf numFmtId="0" fontId="18" fillId="0" borderId="0" xfId="0" applyFont="1" applyAlignment="1">
      <alignment vertical="center"/>
    </xf>
    <xf numFmtId="14" fontId="7" fillId="3" borderId="33" xfId="1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4" fontId="2" fillId="0" borderId="28" xfId="0" applyNumberFormat="1" applyFont="1" applyBorder="1" applyAlignment="1">
      <alignment horizontal="center" vertical="center"/>
    </xf>
    <xf numFmtId="0" fontId="7" fillId="3" borderId="29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9" fillId="5" borderId="25" xfId="1" applyNumberFormat="1" applyFont="1" applyFill="1" applyBorder="1" applyAlignment="1">
      <alignment horizontal="center" vertical="center"/>
    </xf>
    <xf numFmtId="0" fontId="8" fillId="0" borderId="1" xfId="0" applyFont="1" applyFill="1" applyBorder="1"/>
    <xf numFmtId="0" fontId="4" fillId="2" borderId="37" xfId="0" applyFont="1" applyFill="1" applyBorder="1" applyAlignment="1">
      <alignment horizontal="left"/>
    </xf>
    <xf numFmtId="0" fontId="2" fillId="0" borderId="32" xfId="0" applyFont="1" applyFill="1" applyBorder="1" applyAlignment="1"/>
    <xf numFmtId="0" fontId="2" fillId="0" borderId="1" xfId="0" applyFont="1" applyFill="1" applyBorder="1" applyAlignment="1"/>
    <xf numFmtId="44" fontId="2" fillId="0" borderId="38" xfId="0" applyNumberFormat="1" applyFont="1" applyFill="1" applyBorder="1" applyAlignment="1"/>
    <xf numFmtId="44" fontId="2" fillId="0" borderId="1" xfId="0" applyNumberFormat="1" applyFont="1" applyBorder="1" applyAlignment="1"/>
    <xf numFmtId="0" fontId="3" fillId="0" borderId="3" xfId="0" applyFont="1" applyFill="1" applyBorder="1" applyAlignment="1"/>
    <xf numFmtId="0" fontId="2" fillId="0" borderId="0" xfId="0" applyFont="1" applyFill="1" applyAlignment="1"/>
    <xf numFmtId="44" fontId="2" fillId="0" borderId="0" xfId="0" applyNumberFormat="1" applyFont="1" applyFill="1" applyAlignment="1"/>
    <xf numFmtId="44" fontId="2" fillId="0" borderId="0" xfId="0" applyNumberFormat="1" applyFont="1" applyAlignment="1"/>
    <xf numFmtId="49" fontId="2" fillId="0" borderId="0" xfId="0" applyNumberFormat="1" applyFont="1"/>
    <xf numFmtId="22" fontId="2" fillId="0" borderId="0" xfId="0" applyNumberFormat="1" applyFont="1"/>
    <xf numFmtId="49" fontId="2" fillId="0" borderId="3" xfId="0" applyNumberFormat="1" applyFont="1" applyBorder="1"/>
    <xf numFmtId="44" fontId="12" fillId="6" borderId="6" xfId="0" applyNumberFormat="1" applyFont="1" applyFill="1" applyBorder="1" applyAlignment="1">
      <alignment horizontal="left"/>
    </xf>
    <xf numFmtId="0" fontId="16" fillId="0" borderId="1" xfId="0" applyNumberFormat="1" applyFont="1" applyFill="1" applyBorder="1" applyAlignment="1">
      <alignment horizontal="center"/>
    </xf>
    <xf numFmtId="0" fontId="2" fillId="4" borderId="3" xfId="0" applyFont="1" applyFill="1" applyBorder="1"/>
    <xf numFmtId="0" fontId="2" fillId="6" borderId="3" xfId="0" applyFont="1" applyFill="1" applyBorder="1"/>
    <xf numFmtId="49" fontId="2" fillId="6" borderId="3" xfId="0" applyNumberFormat="1" applyFont="1" applyFill="1" applyBorder="1"/>
    <xf numFmtId="0" fontId="5" fillId="0" borderId="3" xfId="0" applyFont="1" applyFill="1" applyBorder="1"/>
    <xf numFmtId="49" fontId="5" fillId="0" borderId="3" xfId="0" applyNumberFormat="1" applyFont="1" applyFill="1" applyBorder="1"/>
    <xf numFmtId="44" fontId="5" fillId="0" borderId="3" xfId="0" applyNumberFormat="1" applyFont="1" applyFill="1" applyBorder="1"/>
    <xf numFmtId="0" fontId="7" fillId="3" borderId="2" xfId="1" applyFont="1" applyAlignment="1"/>
    <xf numFmtId="176" fontId="12" fillId="6" borderId="7" xfId="0" applyNumberFormat="1" applyFont="1" applyFill="1" applyBorder="1" applyAlignment="1">
      <alignment horizontal="left"/>
    </xf>
    <xf numFmtId="176" fontId="12" fillId="6" borderId="8" xfId="0" applyNumberFormat="1" applyFont="1" applyFill="1" applyBorder="1" applyAlignment="1">
      <alignment horizontal="left"/>
    </xf>
    <xf numFmtId="0" fontId="16" fillId="0" borderId="9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176" fontId="7" fillId="3" borderId="2" xfId="1" applyNumberFormat="1" applyFont="1" applyBorder="1" applyAlignment="1">
      <alignment horizontal="left" vertical="top"/>
    </xf>
    <xf numFmtId="176" fontId="7" fillId="3" borderId="22" xfId="1" applyNumberFormat="1" applyFont="1" applyBorder="1" applyAlignment="1">
      <alignment horizontal="left" vertical="top"/>
    </xf>
    <xf numFmtId="176" fontId="14" fillId="5" borderId="5" xfId="0" applyNumberFormat="1" applyFont="1" applyFill="1" applyBorder="1" applyAlignment="1">
      <alignment horizontal="left" vertical="center"/>
    </xf>
    <xf numFmtId="176" fontId="14" fillId="5" borderId="6" xfId="0" applyNumberFormat="1" applyFont="1" applyFill="1" applyBorder="1" applyAlignment="1">
      <alignment horizontal="left" vertical="center"/>
    </xf>
    <xf numFmtId="176" fontId="14" fillId="5" borderId="14" xfId="0" applyNumberFormat="1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>
      <alignment horizontal="center"/>
    </xf>
    <xf numFmtId="49" fontId="4" fillId="2" borderId="21" xfId="0" applyNumberFormat="1" applyFont="1" applyFill="1" applyBorder="1" applyAlignment="1">
      <alignment horizontal="center"/>
    </xf>
    <xf numFmtId="184" fontId="2" fillId="5" borderId="23" xfId="3" applyNumberFormat="1" applyFont="1" applyFill="1" applyBorder="1" applyAlignment="1">
      <alignment horizontal="center"/>
    </xf>
    <xf numFmtId="184" fontId="2" fillId="5" borderId="6" xfId="3" applyNumberFormat="1" applyFont="1" applyFill="1" applyBorder="1" applyAlignment="1">
      <alignment horizontal="center"/>
    </xf>
    <xf numFmtId="184" fontId="2" fillId="5" borderId="14" xfId="3" applyNumberFormat="1" applyFont="1" applyFill="1" applyBorder="1" applyAlignment="1">
      <alignment horizontal="center"/>
    </xf>
    <xf numFmtId="185" fontId="2" fillId="5" borderId="24" xfId="3" applyNumberFormat="1" applyFont="1" applyFill="1" applyBorder="1" applyAlignment="1">
      <alignment horizontal="center"/>
    </xf>
    <xf numFmtId="185" fontId="2" fillId="5" borderId="18" xfId="3" applyNumberFormat="1" applyFont="1" applyFill="1" applyBorder="1" applyAlignment="1">
      <alignment horizontal="center"/>
    </xf>
    <xf numFmtId="185" fontId="2" fillId="5" borderId="19" xfId="3" applyNumberFormat="1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center"/>
    </xf>
    <xf numFmtId="178" fontId="2" fillId="5" borderId="23" xfId="0" applyNumberFormat="1" applyFont="1" applyFill="1" applyBorder="1" applyAlignment="1">
      <alignment horizontal="center" vertical="center"/>
    </xf>
    <xf numFmtId="178" fontId="2" fillId="5" borderId="6" xfId="0" applyNumberFormat="1" applyFont="1" applyFill="1" applyBorder="1" applyAlignment="1">
      <alignment horizontal="center" vertical="center"/>
    </xf>
    <xf numFmtId="178" fontId="2" fillId="5" borderId="14" xfId="0" applyNumberFormat="1" applyFont="1" applyFill="1" applyBorder="1" applyAlignment="1">
      <alignment horizontal="center" vertical="center"/>
    </xf>
    <xf numFmtId="14" fontId="2" fillId="5" borderId="23" xfId="0" applyNumberFormat="1" applyFont="1" applyFill="1" applyBorder="1" applyAlignment="1">
      <alignment horizontal="center"/>
    </xf>
    <xf numFmtId="14" fontId="2" fillId="5" borderId="6" xfId="0" applyNumberFormat="1" applyFont="1" applyFill="1" applyBorder="1" applyAlignment="1">
      <alignment horizontal="center"/>
    </xf>
    <xf numFmtId="14" fontId="2" fillId="5" borderId="14" xfId="0" applyNumberFormat="1" applyFont="1" applyFill="1" applyBorder="1" applyAlignment="1">
      <alignment horizontal="center"/>
    </xf>
    <xf numFmtId="180" fontId="2" fillId="5" borderId="23" xfId="0" applyNumberFormat="1" applyFont="1" applyFill="1" applyBorder="1" applyAlignment="1">
      <alignment horizontal="center"/>
    </xf>
    <xf numFmtId="180" fontId="2" fillId="5" borderId="6" xfId="0" applyNumberFormat="1" applyFont="1" applyFill="1" applyBorder="1" applyAlignment="1">
      <alignment horizontal="center"/>
    </xf>
    <xf numFmtId="180" fontId="2" fillId="5" borderId="14" xfId="0" applyNumberFormat="1" applyFont="1" applyFill="1" applyBorder="1" applyAlignment="1">
      <alignment horizontal="center"/>
    </xf>
    <xf numFmtId="0" fontId="2" fillId="5" borderId="23" xfId="0" applyNumberFormat="1" applyFont="1" applyFill="1" applyBorder="1" applyAlignment="1">
      <alignment horizontal="center"/>
    </xf>
    <xf numFmtId="0" fontId="2" fillId="5" borderId="6" xfId="0" applyNumberFormat="1" applyFont="1" applyFill="1" applyBorder="1" applyAlignment="1">
      <alignment horizontal="center"/>
    </xf>
    <xf numFmtId="0" fontId="2" fillId="5" borderId="14" xfId="0" applyNumberFormat="1" applyFont="1" applyFill="1" applyBorder="1" applyAlignment="1">
      <alignment horizontal="center"/>
    </xf>
    <xf numFmtId="179" fontId="2" fillId="5" borderId="24" xfId="0" applyNumberFormat="1" applyFont="1" applyFill="1" applyBorder="1" applyAlignment="1">
      <alignment horizontal="center"/>
    </xf>
    <xf numFmtId="179" fontId="2" fillId="5" borderId="18" xfId="0" applyNumberFormat="1" applyFont="1" applyFill="1" applyBorder="1" applyAlignment="1">
      <alignment horizontal="center"/>
    </xf>
    <xf numFmtId="179" fontId="2" fillId="5" borderId="19" xfId="0" applyNumberFormat="1" applyFont="1" applyFill="1" applyBorder="1" applyAlignment="1">
      <alignment horizontal="center"/>
    </xf>
    <xf numFmtId="177" fontId="2" fillId="5" borderId="23" xfId="0" applyNumberFormat="1" applyFont="1" applyFill="1" applyBorder="1" applyAlignment="1">
      <alignment horizontal="center" vertical="center"/>
    </xf>
    <xf numFmtId="177" fontId="2" fillId="5" borderId="6" xfId="0" applyNumberFormat="1" applyFont="1" applyFill="1" applyBorder="1" applyAlignment="1">
      <alignment horizontal="center" vertical="center"/>
    </xf>
    <xf numFmtId="177" fontId="2" fillId="5" borderId="14" xfId="0" applyNumberFormat="1" applyFont="1" applyFill="1" applyBorder="1" applyAlignment="1">
      <alignment horizontal="center" vertical="center"/>
    </xf>
    <xf numFmtId="0" fontId="7" fillId="3" borderId="35" xfId="1" applyNumberFormat="1" applyFont="1" applyBorder="1" applyAlignment="1">
      <alignment horizontal="center" vertical="center"/>
    </xf>
    <xf numFmtId="0" fontId="7" fillId="3" borderId="36" xfId="1" applyNumberFormat="1" applyFont="1" applyBorder="1" applyAlignment="1">
      <alignment horizontal="center" vertical="center"/>
    </xf>
    <xf numFmtId="177" fontId="7" fillId="3" borderId="35" xfId="1" applyNumberFormat="1" applyFont="1" applyBorder="1" applyAlignment="1">
      <alignment horizontal="center" vertical="center"/>
    </xf>
    <xf numFmtId="177" fontId="7" fillId="3" borderId="36" xfId="1" applyNumberFormat="1" applyFont="1" applyBorder="1" applyAlignment="1">
      <alignment horizontal="center" vertical="center"/>
    </xf>
    <xf numFmtId="176" fontId="2" fillId="5" borderId="23" xfId="0" applyNumberFormat="1" applyFont="1" applyFill="1" applyBorder="1" applyAlignment="1">
      <alignment horizontal="center"/>
    </xf>
    <xf numFmtId="176" fontId="2" fillId="5" borderId="6" xfId="0" applyNumberFormat="1" applyFont="1" applyFill="1" applyBorder="1" applyAlignment="1">
      <alignment horizontal="center"/>
    </xf>
    <xf numFmtId="176" fontId="2" fillId="5" borderId="14" xfId="0" applyNumberFormat="1" applyFont="1" applyFill="1" applyBorder="1" applyAlignment="1">
      <alignment horizontal="center"/>
    </xf>
    <xf numFmtId="43" fontId="2" fillId="5" borderId="23" xfId="2" applyFont="1" applyFill="1" applyBorder="1" applyAlignment="1">
      <alignment horizontal="center"/>
    </xf>
    <xf numFmtId="43" fontId="2" fillId="5" borderId="6" xfId="2" applyFont="1" applyFill="1" applyBorder="1" applyAlignment="1">
      <alignment horizontal="center"/>
    </xf>
    <xf numFmtId="43" fontId="2" fillId="5" borderId="14" xfId="2" applyFont="1" applyFill="1" applyBorder="1" applyAlignment="1">
      <alignment horizontal="center"/>
    </xf>
    <xf numFmtId="181" fontId="2" fillId="5" borderId="24" xfId="0" applyNumberFormat="1" applyFont="1" applyFill="1" applyBorder="1" applyAlignment="1">
      <alignment horizontal="center"/>
    </xf>
    <xf numFmtId="181" fontId="2" fillId="5" borderId="18" xfId="0" applyNumberFormat="1" applyFont="1" applyFill="1" applyBorder="1" applyAlignment="1">
      <alignment horizontal="center"/>
    </xf>
    <xf numFmtId="181" fontId="2" fillId="5" borderId="19" xfId="0" applyNumberFormat="1" applyFont="1" applyFill="1" applyBorder="1" applyAlignment="1">
      <alignment horizontal="center"/>
    </xf>
    <xf numFmtId="183" fontId="2" fillId="5" borderId="23" xfId="0" applyNumberFormat="1" applyFont="1" applyFill="1" applyBorder="1" applyAlignment="1">
      <alignment horizontal="center"/>
    </xf>
    <xf numFmtId="183" fontId="2" fillId="5" borderId="6" xfId="0" applyNumberFormat="1" applyFont="1" applyFill="1" applyBorder="1" applyAlignment="1">
      <alignment horizontal="center"/>
    </xf>
    <xf numFmtId="183" fontId="2" fillId="5" borderId="14" xfId="0" applyNumberFormat="1" applyFont="1" applyFill="1" applyBorder="1" applyAlignment="1">
      <alignment horizontal="center"/>
    </xf>
    <xf numFmtId="179" fontId="2" fillId="5" borderId="26" xfId="0" applyNumberFormat="1" applyFont="1" applyFill="1" applyBorder="1" applyAlignment="1">
      <alignment horizontal="center"/>
    </xf>
    <xf numFmtId="179" fontId="2" fillId="5" borderId="8" xfId="0" applyNumberFormat="1" applyFont="1" applyFill="1" applyBorder="1" applyAlignment="1">
      <alignment horizontal="center"/>
    </xf>
    <xf numFmtId="179" fontId="2" fillId="5" borderId="27" xfId="0" applyNumberFormat="1" applyFont="1" applyFill="1" applyBorder="1" applyAlignment="1">
      <alignment horizontal="center"/>
    </xf>
    <xf numFmtId="182" fontId="2" fillId="5" borderId="23" xfId="3" applyNumberFormat="1" applyFont="1" applyFill="1" applyBorder="1" applyAlignment="1">
      <alignment horizontal="center"/>
    </xf>
    <xf numFmtId="182" fontId="2" fillId="5" borderId="6" xfId="3" applyNumberFormat="1" applyFont="1" applyFill="1" applyBorder="1" applyAlignment="1">
      <alignment horizontal="center"/>
    </xf>
    <xf numFmtId="182" fontId="2" fillId="5" borderId="14" xfId="3" applyNumberFormat="1" applyFont="1" applyFill="1" applyBorder="1" applyAlignment="1">
      <alignment horizontal="center"/>
    </xf>
    <xf numFmtId="44" fontId="2" fillId="5" borderId="23" xfId="0" applyNumberFormat="1" applyFont="1" applyFill="1" applyBorder="1" applyAlignment="1">
      <alignment horizontal="center"/>
    </xf>
    <xf numFmtId="44" fontId="2" fillId="5" borderId="6" xfId="0" applyNumberFormat="1" applyFont="1" applyFill="1" applyBorder="1" applyAlignment="1">
      <alignment horizontal="center"/>
    </xf>
    <xf numFmtId="44" fontId="2" fillId="5" borderId="14" xfId="0" applyNumberFormat="1" applyFont="1" applyFill="1" applyBorder="1" applyAlignment="1">
      <alignment horizontal="center"/>
    </xf>
  </cellXfs>
  <cellStyles count="4">
    <cellStyle name="百分比" xfId="3" builtinId="5"/>
    <cellStyle name="常规" xfId="0" builtinId="0"/>
    <cellStyle name="千位分隔" xfId="2" builtinId="3"/>
    <cellStyle name="输入" xfId="1" builtinId="20"/>
  </cellStyles>
  <dxfs count="12">
    <dxf>
      <font>
        <b/>
        <i val="0"/>
        <color rgb="FFFF0000"/>
      </font>
      <fill>
        <patternFill>
          <bgColor rgb="FFFFFF00"/>
        </patternFill>
      </fill>
    </dxf>
    <dxf>
      <font>
        <color rgb="FF002060"/>
      </font>
      <fill>
        <patternFill>
          <bgColor theme="5" tint="0.79998168889431442"/>
        </patternFill>
      </fill>
    </dxf>
    <dxf>
      <font>
        <b val="0"/>
        <i val="0"/>
        <color rgb="FF00206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colors>
    <mruColors>
      <color rgb="FFC6E9CE"/>
      <color rgb="FFFFF2CC"/>
      <color rgb="FF005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104775</xdr:rowOff>
        </xdr:from>
        <xdr:to>
          <xdr:col>14</xdr:col>
          <xdr:colOff>466725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重置排序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104775</xdr:rowOff>
        </xdr:from>
        <xdr:to>
          <xdr:col>16</xdr:col>
          <xdr:colOff>381000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预定产品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18</xdr:row>
          <xdr:rowOff>133350</xdr:rowOff>
        </xdr:from>
        <xdr:to>
          <xdr:col>16</xdr:col>
          <xdr:colOff>381000</xdr:colOff>
          <xdr:row>20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预览订单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18</xdr:row>
          <xdr:rowOff>152400</xdr:rowOff>
        </xdr:from>
        <xdr:to>
          <xdr:col>19</xdr:col>
          <xdr:colOff>228600</xdr:colOff>
          <xdr:row>20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133350</xdr:rowOff>
        </xdr:from>
        <xdr:to>
          <xdr:col>14</xdr:col>
          <xdr:colOff>0</xdr:colOff>
          <xdr:row>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虚拟机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161925</xdr:rowOff>
        </xdr:from>
        <xdr:to>
          <xdr:col>14</xdr:col>
          <xdr:colOff>0</xdr:colOff>
          <xdr:row>7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机房服务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200025</xdr:rowOff>
        </xdr:from>
        <xdr:to>
          <xdr:col>14</xdr:col>
          <xdr:colOff>0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物理机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</xdr:row>
          <xdr:rowOff>19050</xdr:rowOff>
        </xdr:from>
        <xdr:to>
          <xdr:col>14</xdr:col>
          <xdr:colOff>0</xdr:colOff>
          <xdr:row>11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GPU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47625</xdr:rowOff>
        </xdr:from>
        <xdr:to>
          <xdr:col>14</xdr:col>
          <xdr:colOff>0</xdr:colOff>
          <xdr:row>13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存储服务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14</xdr:row>
          <xdr:rowOff>76200</xdr:rowOff>
        </xdr:from>
        <xdr:to>
          <xdr:col>14</xdr:col>
          <xdr:colOff>0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网络服务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10</xdr:row>
          <xdr:rowOff>19050</xdr:rowOff>
        </xdr:from>
        <xdr:to>
          <xdr:col>16</xdr:col>
          <xdr:colOff>381000</xdr:colOff>
          <xdr:row>11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7</xdr:row>
          <xdr:rowOff>200025</xdr:rowOff>
        </xdr:from>
        <xdr:to>
          <xdr:col>16</xdr:col>
          <xdr:colOff>381000</xdr:colOff>
          <xdr:row>9</xdr:row>
          <xdr:rowOff>142875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16</xdr:row>
          <xdr:rowOff>104775</xdr:rowOff>
        </xdr:from>
        <xdr:to>
          <xdr:col>14</xdr:col>
          <xdr:colOff>533400</xdr:colOff>
          <xdr:row>18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5</xdr:row>
          <xdr:rowOff>161925</xdr:rowOff>
        </xdr:from>
        <xdr:to>
          <xdr:col>16</xdr:col>
          <xdr:colOff>381000</xdr:colOff>
          <xdr:row>7</xdr:row>
          <xdr:rowOff>104775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商业非关系型数据库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16</xdr:row>
          <xdr:rowOff>104775</xdr:rowOff>
        </xdr:from>
        <xdr:to>
          <xdr:col>16</xdr:col>
          <xdr:colOff>381000</xdr:colOff>
          <xdr:row>18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12</xdr:row>
          <xdr:rowOff>47625</xdr:rowOff>
        </xdr:from>
        <xdr:to>
          <xdr:col>16</xdr:col>
          <xdr:colOff>381000</xdr:colOff>
          <xdr:row>13</xdr:row>
          <xdr:rowOff>200025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数据库许可和技术支持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14</xdr:row>
          <xdr:rowOff>76200</xdr:rowOff>
        </xdr:from>
        <xdr:to>
          <xdr:col>16</xdr:col>
          <xdr:colOff>381000</xdr:colOff>
          <xdr:row>16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中间件许可和技术支持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3</xdr:row>
          <xdr:rowOff>133350</xdr:rowOff>
        </xdr:from>
        <xdr:to>
          <xdr:col>16</xdr:col>
          <xdr:colOff>381000</xdr:colOff>
          <xdr:row>5</xdr:row>
          <xdr:rowOff>76200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操作系统许可和技术支持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18</xdr:row>
          <xdr:rowOff>133350</xdr:rowOff>
        </xdr:from>
        <xdr:to>
          <xdr:col>14</xdr:col>
          <xdr:colOff>0</xdr:colOff>
          <xdr:row>20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安全服务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24</xdr:row>
          <xdr:rowOff>9525</xdr:rowOff>
        </xdr:from>
        <xdr:to>
          <xdr:col>16</xdr:col>
          <xdr:colOff>609600</xdr:colOff>
          <xdr:row>26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18</xdr:row>
          <xdr:rowOff>152400</xdr:rowOff>
        </xdr:from>
        <xdr:to>
          <xdr:col>16</xdr:col>
          <xdr:colOff>609600</xdr:colOff>
          <xdr:row>20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生成预览订单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190500</xdr:rowOff>
        </xdr:from>
        <xdr:to>
          <xdr:col>2</xdr:col>
          <xdr:colOff>9525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订单详情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8</xdr:row>
          <xdr:rowOff>152400</xdr:rowOff>
        </xdr:from>
        <xdr:to>
          <xdr:col>2</xdr:col>
          <xdr:colOff>9525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所有订单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123825</xdr:rowOff>
        </xdr:from>
        <xdr:to>
          <xdr:col>13</xdr:col>
          <xdr:colOff>238125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查询所有商品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200025</xdr:rowOff>
        </xdr:from>
        <xdr:to>
          <xdr:col>8</xdr:col>
          <xdr:colOff>390525</xdr:colOff>
          <xdr:row>3</xdr:row>
          <xdr:rowOff>85725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客户经理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4</xdr:col>
          <xdr:colOff>266700</xdr:colOff>
          <xdr:row>7</xdr:row>
          <xdr:rowOff>95250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12</xdr:row>
          <xdr:rowOff>190500</xdr:rowOff>
        </xdr:from>
        <xdr:to>
          <xdr:col>4</xdr:col>
          <xdr:colOff>266700</xdr:colOff>
          <xdr:row>14</xdr:row>
          <xdr:rowOff>200025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两方合同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</xdr:row>
          <xdr:rowOff>114300</xdr:rowOff>
        </xdr:from>
        <xdr:to>
          <xdr:col>4</xdr:col>
          <xdr:colOff>266700</xdr:colOff>
          <xdr:row>3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85725</xdr:rowOff>
        </xdr:from>
        <xdr:to>
          <xdr:col>10</xdr:col>
          <xdr:colOff>476250</xdr:colOff>
          <xdr:row>7</xdr:row>
          <xdr:rowOff>95250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190500</xdr:rowOff>
        </xdr:from>
        <xdr:to>
          <xdr:col>10</xdr:col>
          <xdr:colOff>476250</xdr:colOff>
          <xdr:row>14</xdr:row>
          <xdr:rowOff>200025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三方合同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114300</xdr:rowOff>
        </xdr:from>
        <xdr:to>
          <xdr:col>10</xdr:col>
          <xdr:colOff>476250</xdr:colOff>
          <xdr:row>3</xdr:row>
          <xdr:rowOff>123825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00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2" width="9" style="29" customWidth="1"/>
    <col min="3" max="3" width="11.25" style="29" bestFit="1" customWidth="1"/>
    <col min="4" max="4" width="12.75" style="29" customWidth="1"/>
    <col min="5" max="5" width="9.75" style="29" customWidth="1"/>
    <col min="6" max="10" width="9" style="29"/>
    <col min="11" max="11" width="13" style="69" bestFit="1" customWidth="1"/>
    <col min="12" max="12" width="16.25" style="69" bestFit="1" customWidth="1"/>
    <col min="13" max="13" width="1.625" style="6" customWidth="1"/>
    <col min="14" max="14" width="9.625" style="1" bestFit="1" customWidth="1"/>
    <col min="15" max="16384" width="9" style="1"/>
  </cols>
  <sheetData>
    <row r="1" spans="1:18" x14ac:dyDescent="0.3">
      <c r="A1" s="61" t="s">
        <v>2</v>
      </c>
      <c r="B1" s="61" t="s">
        <v>8</v>
      </c>
      <c r="C1" s="61" t="s">
        <v>9</v>
      </c>
      <c r="D1" s="61" t="s">
        <v>10</v>
      </c>
      <c r="E1" s="61" t="s">
        <v>11</v>
      </c>
      <c r="F1" s="61" t="s">
        <v>12</v>
      </c>
      <c r="G1" s="61" t="s">
        <v>13</v>
      </c>
      <c r="H1" s="61" t="s">
        <v>16</v>
      </c>
      <c r="I1" s="3" t="s">
        <v>17</v>
      </c>
      <c r="J1" s="3" t="s">
        <v>18</v>
      </c>
      <c r="K1" s="7" t="s">
        <v>15</v>
      </c>
      <c r="L1" s="5" t="s">
        <v>0</v>
      </c>
      <c r="M1" s="50"/>
      <c r="N1" s="33" t="s">
        <v>36</v>
      </c>
      <c r="O1" s="82">
        <f>SUM(L:L)</f>
        <v>0</v>
      </c>
      <c r="P1" s="83"/>
      <c r="Q1" s="83"/>
      <c r="R1" s="27"/>
    </row>
    <row r="2" spans="1:18" x14ac:dyDescent="0.3">
      <c r="A2" s="22"/>
      <c r="B2" s="22"/>
      <c r="C2" s="22"/>
      <c r="D2" s="22"/>
      <c r="E2" s="22"/>
      <c r="F2" s="22"/>
      <c r="G2" s="22"/>
      <c r="H2" s="22"/>
      <c r="I2" s="62">
        <v>0</v>
      </c>
      <c r="J2" s="63">
        <v>0</v>
      </c>
      <c r="K2" s="64">
        <f>IFERROR(IF(OR(C2="FC-SAN",C2="IP-SAN"),StoragePrice(D2,I2)/I2,VLOOKUP(A2,所有商品!A:L,7,FALSE)),0)</f>
        <v>0</v>
      </c>
      <c r="L2" s="65">
        <f t="shared" ref="L2:L33" si="0">PRODUCT(I2:K2)</f>
        <v>0</v>
      </c>
      <c r="M2" s="45"/>
    </row>
    <row r="3" spans="1:18" x14ac:dyDescent="0.3">
      <c r="A3" s="22"/>
      <c r="B3" s="22"/>
      <c r="C3" s="22"/>
      <c r="D3" s="22"/>
      <c r="E3" s="22"/>
      <c r="F3" s="22"/>
      <c r="G3" s="22"/>
      <c r="H3" s="22"/>
      <c r="I3" s="62">
        <v>0</v>
      </c>
      <c r="J3" s="63">
        <v>0</v>
      </c>
      <c r="K3" s="64">
        <f>IFERROR(IF(OR(C3="FC-SAN",C3="IP-SAN"),StoragePrice(D3,I3)/I3,VLOOKUP(A3,所有商品!A:L,7,FALSE)),0)</f>
        <v>0</v>
      </c>
      <c r="L3" s="65">
        <f t="shared" si="0"/>
        <v>0</v>
      </c>
      <c r="M3" s="45"/>
    </row>
    <row r="4" spans="1:18" x14ac:dyDescent="0.3">
      <c r="A4" s="22"/>
      <c r="B4" s="22"/>
      <c r="C4" s="22"/>
      <c r="D4" s="22"/>
      <c r="E4" s="22"/>
      <c r="F4" s="22"/>
      <c r="G4" s="22"/>
      <c r="H4" s="22"/>
      <c r="I4" s="62">
        <v>0</v>
      </c>
      <c r="J4" s="63">
        <v>0</v>
      </c>
      <c r="K4" s="64">
        <f>IFERROR(IF(OR(C4="FC-SAN",C4="IP-SAN"),StoragePrice(D4,I4)/I4,VLOOKUP(A4,所有商品!A:L,7,FALSE)),0)</f>
        <v>0</v>
      </c>
      <c r="L4" s="65">
        <f t="shared" si="0"/>
        <v>0</v>
      </c>
      <c r="M4" s="45"/>
    </row>
    <row r="5" spans="1:18" x14ac:dyDescent="0.3">
      <c r="A5" s="22"/>
      <c r="B5" s="22"/>
      <c r="C5" s="22"/>
      <c r="D5" s="22"/>
      <c r="E5" s="22"/>
      <c r="F5" s="22"/>
      <c r="G5" s="22"/>
      <c r="H5" s="22"/>
      <c r="I5" s="62">
        <v>0</v>
      </c>
      <c r="J5" s="63">
        <v>0</v>
      </c>
      <c r="K5" s="64">
        <f>IFERROR(IF(OR(C5="FC-SAN",C5="IP-SAN"),StoragePrice(D5,I5)/I5,VLOOKUP(A5,所有商品!A:L,7,FALSE)),0)</f>
        <v>0</v>
      </c>
      <c r="L5" s="65">
        <f t="shared" si="0"/>
        <v>0</v>
      </c>
      <c r="M5" s="45"/>
    </row>
    <row r="6" spans="1:18" x14ac:dyDescent="0.3">
      <c r="A6" s="22"/>
      <c r="B6" s="22"/>
      <c r="C6" s="22"/>
      <c r="D6" s="22"/>
      <c r="E6" s="22"/>
      <c r="F6" s="22"/>
      <c r="G6" s="22"/>
      <c r="H6" s="22"/>
      <c r="I6" s="62">
        <v>0</v>
      </c>
      <c r="J6" s="63">
        <v>0</v>
      </c>
      <c r="K6" s="64">
        <f>IFERROR(IF(OR(C6="FC-SAN",C6="IP-SAN"),StoragePrice(D6,I6)/I6,VLOOKUP(A6,所有商品!A:L,7,FALSE)),0)</f>
        <v>0</v>
      </c>
      <c r="L6" s="65">
        <f t="shared" si="0"/>
        <v>0</v>
      </c>
      <c r="M6" s="45"/>
    </row>
    <row r="7" spans="1:18" x14ac:dyDescent="0.3">
      <c r="A7" s="66"/>
      <c r="B7" s="22"/>
      <c r="C7" s="22"/>
      <c r="D7" s="22"/>
      <c r="E7" s="22"/>
      <c r="F7" s="22"/>
      <c r="G7" s="22"/>
      <c r="H7" s="22"/>
      <c r="I7" s="62">
        <v>0</v>
      </c>
      <c r="J7" s="63">
        <v>0</v>
      </c>
      <c r="K7" s="64">
        <f>IFERROR(IF(OR(C7="FC-SAN",C7="IP-SAN"),StoragePrice(D7,I7)/I7,VLOOKUP(A7,所有商品!A:L,7,FALSE)),0)</f>
        <v>0</v>
      </c>
      <c r="L7" s="65">
        <f t="shared" si="0"/>
        <v>0</v>
      </c>
      <c r="M7" s="45"/>
    </row>
    <row r="8" spans="1:18" x14ac:dyDescent="0.3">
      <c r="A8" s="22"/>
      <c r="B8" s="22"/>
      <c r="C8" s="22"/>
      <c r="D8" s="22"/>
      <c r="E8" s="22"/>
      <c r="F8" s="22"/>
      <c r="G8" s="22"/>
      <c r="H8" s="22"/>
      <c r="I8" s="62">
        <v>0</v>
      </c>
      <c r="J8" s="63">
        <v>0</v>
      </c>
      <c r="K8" s="64">
        <f>IFERROR(IF(OR(C8="FC-SAN",C8="IP-SAN"),StoragePrice(D8,I8)/I8,VLOOKUP(A8,所有商品!A:L,7,FALSE)),0)</f>
        <v>0</v>
      </c>
      <c r="L8" s="65">
        <f t="shared" si="0"/>
        <v>0</v>
      </c>
      <c r="M8" s="45"/>
    </row>
    <row r="9" spans="1:18" x14ac:dyDescent="0.3">
      <c r="A9" s="22"/>
      <c r="B9" s="22"/>
      <c r="C9" s="22"/>
      <c r="D9" s="22"/>
      <c r="E9" s="22"/>
      <c r="F9" s="22"/>
      <c r="G9" s="22"/>
      <c r="H9" s="22"/>
      <c r="I9" s="62">
        <v>0</v>
      </c>
      <c r="J9" s="63">
        <v>0</v>
      </c>
      <c r="K9" s="64">
        <f>IFERROR(IF(OR(C9="FC-SAN",C9="IP-SAN"),StoragePrice(D9,I9)/I9,VLOOKUP(A9,所有商品!A:L,7,FALSE)),0)</f>
        <v>0</v>
      </c>
      <c r="L9" s="65">
        <f t="shared" si="0"/>
        <v>0</v>
      </c>
      <c r="M9" s="45"/>
    </row>
    <row r="10" spans="1:18" x14ac:dyDescent="0.3">
      <c r="A10" s="22"/>
      <c r="B10" s="22"/>
      <c r="C10" s="22"/>
      <c r="D10" s="22"/>
      <c r="E10" s="22"/>
      <c r="F10" s="22"/>
      <c r="G10" s="22"/>
      <c r="H10" s="22"/>
      <c r="I10" s="62">
        <v>0</v>
      </c>
      <c r="J10" s="63">
        <v>0</v>
      </c>
      <c r="K10" s="64">
        <f>IFERROR(IF(OR(C10="FC-SAN",C10="IP-SAN"),StoragePrice(D10,I10)/I10,VLOOKUP(A10,所有商品!A:L,7,FALSE)),0)</f>
        <v>0</v>
      </c>
      <c r="L10" s="65">
        <f t="shared" si="0"/>
        <v>0</v>
      </c>
      <c r="M10" s="45"/>
    </row>
    <row r="11" spans="1:18" x14ac:dyDescent="0.3">
      <c r="A11" s="22"/>
      <c r="B11" s="22"/>
      <c r="C11" s="22"/>
      <c r="D11" s="22"/>
      <c r="E11" s="22"/>
      <c r="F11" s="22"/>
      <c r="G11" s="22"/>
      <c r="H11" s="22"/>
      <c r="I11" s="62">
        <v>0</v>
      </c>
      <c r="J11" s="63">
        <v>0</v>
      </c>
      <c r="K11" s="64">
        <f>IFERROR(IF(OR(C11="FC-SAN",C11="IP-SAN"),StoragePrice(D11,I11)/I11,VLOOKUP(A11,所有商品!A:L,7,FALSE)),0)</f>
        <v>0</v>
      </c>
      <c r="L11" s="65">
        <f t="shared" si="0"/>
        <v>0</v>
      </c>
      <c r="M11" s="45"/>
    </row>
    <row r="12" spans="1:18" x14ac:dyDescent="0.3">
      <c r="A12" s="22"/>
      <c r="B12" s="22"/>
      <c r="C12" s="22"/>
      <c r="D12" s="22"/>
      <c r="E12" s="22"/>
      <c r="F12" s="22"/>
      <c r="G12" s="22"/>
      <c r="H12" s="22"/>
      <c r="I12" s="62">
        <v>0</v>
      </c>
      <c r="J12" s="63">
        <v>0</v>
      </c>
      <c r="K12" s="64">
        <f>IFERROR(IF(OR(C12="FC-SAN",C12="IP-SAN"),StoragePrice(D12,I12)/I12,VLOOKUP(A12,所有商品!A:L,7,FALSE)),0)</f>
        <v>0</v>
      </c>
      <c r="L12" s="65">
        <f t="shared" si="0"/>
        <v>0</v>
      </c>
      <c r="M12" s="45"/>
    </row>
    <row r="13" spans="1:18" x14ac:dyDescent="0.3">
      <c r="A13" s="22"/>
      <c r="B13" s="22"/>
      <c r="C13" s="22"/>
      <c r="D13" s="22"/>
      <c r="E13" s="22"/>
      <c r="F13" s="22"/>
      <c r="G13" s="22"/>
      <c r="H13" s="22"/>
      <c r="I13" s="62">
        <v>0</v>
      </c>
      <c r="J13" s="63">
        <v>0</v>
      </c>
      <c r="K13" s="64">
        <f>IFERROR(IF(OR(C13="FC-SAN",C13="IP-SAN"),StoragePrice(D13,I13)/I13,VLOOKUP(A13,所有商品!A:L,7,FALSE)),0)</f>
        <v>0</v>
      </c>
      <c r="L13" s="65">
        <f t="shared" si="0"/>
        <v>0</v>
      </c>
      <c r="M13" s="45"/>
    </row>
    <row r="14" spans="1:18" x14ac:dyDescent="0.3">
      <c r="A14" s="22"/>
      <c r="B14" s="22"/>
      <c r="C14" s="22"/>
      <c r="D14" s="22"/>
      <c r="E14" s="22"/>
      <c r="F14" s="22"/>
      <c r="G14" s="22"/>
      <c r="H14" s="22"/>
      <c r="I14" s="62">
        <v>0</v>
      </c>
      <c r="J14" s="63">
        <v>0</v>
      </c>
      <c r="K14" s="64">
        <f>IFERROR(IF(OR(C14="FC-SAN",C14="IP-SAN"),StoragePrice(D14,I14)/I14,VLOOKUP(A14,所有商品!A:L,7,FALSE)),0)</f>
        <v>0</v>
      </c>
      <c r="L14" s="65">
        <f t="shared" si="0"/>
        <v>0</v>
      </c>
      <c r="M14" s="45"/>
    </row>
    <row r="15" spans="1:18" x14ac:dyDescent="0.3">
      <c r="A15" s="22"/>
      <c r="B15" s="22"/>
      <c r="C15" s="22"/>
      <c r="D15" s="22"/>
      <c r="E15" s="22"/>
      <c r="F15" s="22"/>
      <c r="G15" s="22"/>
      <c r="H15" s="22"/>
      <c r="I15" s="62">
        <v>0</v>
      </c>
      <c r="J15" s="63">
        <v>0</v>
      </c>
      <c r="K15" s="64">
        <f>IFERROR(IF(OR(C15="FC-SAN",C15="IP-SAN"),StoragePrice(D15,I15)/I15,VLOOKUP(A15,所有商品!A:L,7,FALSE)),0)</f>
        <v>0</v>
      </c>
      <c r="L15" s="65">
        <f t="shared" si="0"/>
        <v>0</v>
      </c>
      <c r="M15" s="45"/>
    </row>
    <row r="16" spans="1:18" x14ac:dyDescent="0.3">
      <c r="A16" s="22"/>
      <c r="B16" s="22"/>
      <c r="C16" s="22"/>
      <c r="D16" s="22"/>
      <c r="E16" s="22"/>
      <c r="F16" s="22"/>
      <c r="G16" s="22"/>
      <c r="H16" s="22"/>
      <c r="I16" s="62">
        <v>0</v>
      </c>
      <c r="J16" s="63">
        <v>0</v>
      </c>
      <c r="K16" s="64">
        <f>IFERROR(IF(OR(C16="FC-SAN",C16="IP-SAN"),StoragePrice(D16,I16)/I16,VLOOKUP(A16,所有商品!A:L,7,FALSE)),0)</f>
        <v>0</v>
      </c>
      <c r="L16" s="65">
        <f t="shared" si="0"/>
        <v>0</v>
      </c>
      <c r="M16" s="45"/>
    </row>
    <row r="17" spans="1:13" x14ac:dyDescent="0.3">
      <c r="A17" s="22"/>
      <c r="B17" s="22"/>
      <c r="C17" s="22"/>
      <c r="D17" s="22"/>
      <c r="E17" s="22"/>
      <c r="F17" s="22"/>
      <c r="G17" s="22"/>
      <c r="H17" s="22"/>
      <c r="I17" s="62">
        <v>0</v>
      </c>
      <c r="J17" s="63">
        <v>0</v>
      </c>
      <c r="K17" s="64">
        <f>IFERROR(IF(OR(C17="FC-SAN",C17="IP-SAN"),StoragePrice(D17,I17)/I17,VLOOKUP(A17,所有商品!A:L,7,FALSE)),0)</f>
        <v>0</v>
      </c>
      <c r="L17" s="65">
        <f t="shared" si="0"/>
        <v>0</v>
      </c>
      <c r="M17" s="45"/>
    </row>
    <row r="18" spans="1:13" x14ac:dyDescent="0.3">
      <c r="A18" s="22"/>
      <c r="B18" s="22"/>
      <c r="C18" s="22"/>
      <c r="D18" s="22"/>
      <c r="E18" s="22"/>
      <c r="F18" s="22"/>
      <c r="G18" s="22"/>
      <c r="H18" s="22"/>
      <c r="I18" s="62">
        <v>0</v>
      </c>
      <c r="J18" s="63">
        <v>0</v>
      </c>
      <c r="K18" s="64">
        <f>IFERROR(IF(OR(C18="FC-SAN",C18="IP-SAN"),StoragePrice(D18,I18)/I18,VLOOKUP(A18,所有商品!A:L,7,FALSE)),0)</f>
        <v>0</v>
      </c>
      <c r="L18" s="65">
        <f t="shared" si="0"/>
        <v>0</v>
      </c>
      <c r="M18" s="45"/>
    </row>
    <row r="19" spans="1:13" x14ac:dyDescent="0.3">
      <c r="A19" s="22"/>
      <c r="B19" s="22"/>
      <c r="C19" s="22"/>
      <c r="D19" s="22"/>
      <c r="E19" s="22"/>
      <c r="F19" s="22"/>
      <c r="G19" s="22"/>
      <c r="H19" s="22"/>
      <c r="I19" s="62">
        <v>0</v>
      </c>
      <c r="J19" s="63">
        <v>0</v>
      </c>
      <c r="K19" s="64">
        <f>IFERROR(IF(OR(C19="FC-SAN",C19="IP-SAN"),StoragePrice(D19,I19)/I19,VLOOKUP(A19,所有商品!A:L,7,FALSE)),0)</f>
        <v>0</v>
      </c>
      <c r="L19" s="65">
        <f t="shared" si="0"/>
        <v>0</v>
      </c>
      <c r="M19" s="45"/>
    </row>
    <row r="20" spans="1:13" x14ac:dyDescent="0.3">
      <c r="A20" s="22"/>
      <c r="B20" s="22"/>
      <c r="C20" s="22"/>
      <c r="D20" s="22"/>
      <c r="E20" s="22"/>
      <c r="F20" s="22"/>
      <c r="G20" s="22"/>
      <c r="H20" s="22"/>
      <c r="I20" s="62">
        <v>0</v>
      </c>
      <c r="J20" s="63">
        <v>0</v>
      </c>
      <c r="K20" s="64">
        <f>IFERROR(IF(OR(C20="FC-SAN",C20="IP-SAN"),StoragePrice(D20,I20)/I20,VLOOKUP(A20,所有商品!A:L,7,FALSE)),0)</f>
        <v>0</v>
      </c>
      <c r="L20" s="65">
        <f t="shared" si="0"/>
        <v>0</v>
      </c>
      <c r="M20" s="45"/>
    </row>
    <row r="21" spans="1:13" x14ac:dyDescent="0.3">
      <c r="A21" s="22"/>
      <c r="B21" s="22"/>
      <c r="C21" s="22"/>
      <c r="D21" s="22"/>
      <c r="E21" s="22"/>
      <c r="F21" s="22"/>
      <c r="G21" s="22"/>
      <c r="H21" s="22"/>
      <c r="I21" s="62">
        <v>0</v>
      </c>
      <c r="J21" s="63">
        <v>0</v>
      </c>
      <c r="K21" s="64">
        <f>IFERROR(IF(OR(C21="FC-SAN",C21="IP-SAN"),StoragePrice(D21,I21)/I21,VLOOKUP(A21,所有商品!A:L,7,FALSE)),0)</f>
        <v>0</v>
      </c>
      <c r="L21" s="65">
        <f t="shared" si="0"/>
        <v>0</v>
      </c>
      <c r="M21" s="45"/>
    </row>
    <row r="22" spans="1:13" x14ac:dyDescent="0.3">
      <c r="A22" s="22"/>
      <c r="B22" s="22"/>
      <c r="C22" s="22"/>
      <c r="D22" s="22"/>
      <c r="E22" s="22"/>
      <c r="F22" s="22"/>
      <c r="G22" s="22"/>
      <c r="H22" s="22"/>
      <c r="I22" s="62">
        <v>0</v>
      </c>
      <c r="J22" s="63">
        <v>0</v>
      </c>
      <c r="K22" s="64">
        <f>IFERROR(IF(OR(C22="FC-SAN",C22="IP-SAN"),StoragePrice(D22,I22)/I22,VLOOKUP(A22,所有商品!A:L,7,FALSE)),0)</f>
        <v>0</v>
      </c>
      <c r="L22" s="65">
        <f t="shared" si="0"/>
        <v>0</v>
      </c>
      <c r="M22" s="45"/>
    </row>
    <row r="23" spans="1:13" x14ac:dyDescent="0.3">
      <c r="A23" s="22"/>
      <c r="B23" s="22"/>
      <c r="C23" s="22"/>
      <c r="D23" s="22"/>
      <c r="E23" s="22"/>
      <c r="F23" s="22"/>
      <c r="G23" s="22"/>
      <c r="H23" s="22"/>
      <c r="I23" s="62">
        <v>0</v>
      </c>
      <c r="J23" s="63">
        <v>0</v>
      </c>
      <c r="K23" s="64">
        <f>IFERROR(IF(OR(C23="FC-SAN",C23="IP-SAN"),StoragePrice(D23,I23)/I23,VLOOKUP(A23,所有商品!A:L,7,FALSE)),0)</f>
        <v>0</v>
      </c>
      <c r="L23" s="65">
        <f t="shared" si="0"/>
        <v>0</v>
      </c>
      <c r="M23" s="45"/>
    </row>
    <row r="24" spans="1:13" x14ac:dyDescent="0.3">
      <c r="A24" s="22"/>
      <c r="B24" s="22"/>
      <c r="C24" s="22"/>
      <c r="D24" s="22"/>
      <c r="E24" s="22"/>
      <c r="F24" s="22"/>
      <c r="G24" s="22"/>
      <c r="H24" s="22"/>
      <c r="I24" s="62">
        <v>0</v>
      </c>
      <c r="J24" s="63">
        <v>0</v>
      </c>
      <c r="K24" s="64">
        <f>IFERROR(IF(OR(C24="FC-SAN",C24="IP-SAN"),StoragePrice(D24,I24)/I24,VLOOKUP(A24,所有商品!A:L,7,FALSE)),0)</f>
        <v>0</v>
      </c>
      <c r="L24" s="65">
        <f t="shared" si="0"/>
        <v>0</v>
      </c>
      <c r="M24" s="45"/>
    </row>
    <row r="25" spans="1:13" x14ac:dyDescent="0.3">
      <c r="A25" s="22"/>
      <c r="B25" s="22"/>
      <c r="C25" s="22"/>
      <c r="D25" s="22"/>
      <c r="E25" s="22"/>
      <c r="F25" s="22"/>
      <c r="G25" s="22"/>
      <c r="H25" s="22"/>
      <c r="I25" s="62">
        <v>0</v>
      </c>
      <c r="J25" s="63">
        <v>0</v>
      </c>
      <c r="K25" s="64">
        <f>IFERROR(IF(OR(C25="FC-SAN",C25="IP-SAN"),StoragePrice(D25,I25)/I25,VLOOKUP(A25,所有商品!A:L,7,FALSE)),0)</f>
        <v>0</v>
      </c>
      <c r="L25" s="65">
        <f t="shared" si="0"/>
        <v>0</v>
      </c>
      <c r="M25" s="45"/>
    </row>
    <row r="26" spans="1:13" x14ac:dyDescent="0.3">
      <c r="A26" s="22"/>
      <c r="B26" s="22"/>
      <c r="C26" s="22"/>
      <c r="D26" s="22"/>
      <c r="E26" s="22"/>
      <c r="F26" s="22"/>
      <c r="G26" s="22"/>
      <c r="H26" s="22"/>
      <c r="I26" s="62">
        <v>0</v>
      </c>
      <c r="J26" s="63">
        <v>0</v>
      </c>
      <c r="K26" s="64">
        <f>IFERROR(IF(OR(C26="FC-SAN",C26="IP-SAN"),StoragePrice(D26,I26)/I26,VLOOKUP(A26,所有商品!A:L,7,FALSE)),0)</f>
        <v>0</v>
      </c>
      <c r="L26" s="65">
        <f t="shared" si="0"/>
        <v>0</v>
      </c>
      <c r="M26" s="45"/>
    </row>
    <row r="27" spans="1:13" x14ac:dyDescent="0.3">
      <c r="A27" s="22"/>
      <c r="B27" s="22"/>
      <c r="C27" s="22"/>
      <c r="D27" s="22"/>
      <c r="E27" s="22"/>
      <c r="F27" s="22"/>
      <c r="G27" s="22"/>
      <c r="H27" s="22"/>
      <c r="I27" s="62">
        <v>0</v>
      </c>
      <c r="J27" s="63">
        <v>0</v>
      </c>
      <c r="K27" s="64">
        <f>IFERROR(IF(OR(C27="FC-SAN",C27="IP-SAN"),StoragePrice(D27,I27)/I27,VLOOKUP(A27,所有商品!A:L,7,FALSE)),0)</f>
        <v>0</v>
      </c>
      <c r="L27" s="65">
        <f t="shared" si="0"/>
        <v>0</v>
      </c>
      <c r="M27" s="45"/>
    </row>
    <row r="28" spans="1:13" x14ac:dyDescent="0.3">
      <c r="A28" s="22"/>
      <c r="B28" s="22"/>
      <c r="C28" s="22"/>
      <c r="D28" s="22"/>
      <c r="E28" s="22"/>
      <c r="F28" s="22"/>
      <c r="G28" s="22"/>
      <c r="H28" s="22"/>
      <c r="I28" s="62">
        <v>0</v>
      </c>
      <c r="J28" s="63">
        <v>0</v>
      </c>
      <c r="K28" s="64">
        <f>IFERROR(IF(OR(C28="FC-SAN",C28="IP-SAN"),StoragePrice(D28,I28)/I28,VLOOKUP(A28,所有商品!A:L,7,FALSE)),0)</f>
        <v>0</v>
      </c>
      <c r="L28" s="65">
        <f t="shared" si="0"/>
        <v>0</v>
      </c>
      <c r="M28" s="45"/>
    </row>
    <row r="29" spans="1:13" x14ac:dyDescent="0.3">
      <c r="A29" s="22"/>
      <c r="B29" s="22"/>
      <c r="C29" s="22"/>
      <c r="D29" s="22"/>
      <c r="E29" s="22"/>
      <c r="F29" s="22"/>
      <c r="G29" s="22"/>
      <c r="H29" s="22"/>
      <c r="I29" s="62">
        <v>0</v>
      </c>
      <c r="J29" s="63">
        <v>0</v>
      </c>
      <c r="K29" s="64">
        <f>IFERROR(IF(OR(C29="FC-SAN",C29="IP-SAN"),StoragePrice(D29,I29)/I29,VLOOKUP(A29,所有商品!A:L,7,FALSE)),0)</f>
        <v>0</v>
      </c>
      <c r="L29" s="65">
        <f t="shared" si="0"/>
        <v>0</v>
      </c>
      <c r="M29" s="45"/>
    </row>
    <row r="30" spans="1:13" x14ac:dyDescent="0.3">
      <c r="A30" s="22"/>
      <c r="B30" s="22"/>
      <c r="C30" s="22"/>
      <c r="D30" s="22"/>
      <c r="E30" s="22"/>
      <c r="F30" s="22"/>
      <c r="G30" s="22"/>
      <c r="H30" s="22"/>
      <c r="I30" s="62">
        <v>0</v>
      </c>
      <c r="J30" s="63">
        <v>0</v>
      </c>
      <c r="K30" s="64">
        <f>IFERROR(IF(OR(C30="FC-SAN",C30="IP-SAN"),StoragePrice(D30,I30)/I30,VLOOKUP(A30,所有商品!A:L,7,FALSE)),0)</f>
        <v>0</v>
      </c>
      <c r="L30" s="65">
        <f t="shared" si="0"/>
        <v>0</v>
      </c>
      <c r="M30" s="45"/>
    </row>
    <row r="31" spans="1:13" x14ac:dyDescent="0.3">
      <c r="A31" s="22"/>
      <c r="B31" s="22"/>
      <c r="C31" s="22"/>
      <c r="D31" s="22"/>
      <c r="E31" s="22"/>
      <c r="F31" s="22"/>
      <c r="G31" s="22"/>
      <c r="H31" s="22"/>
      <c r="I31" s="62">
        <v>0</v>
      </c>
      <c r="J31" s="63">
        <v>0</v>
      </c>
      <c r="K31" s="64">
        <f>IFERROR(IF(OR(C31="FC-SAN",C31="IP-SAN"),StoragePrice(D31,I31)/I31,VLOOKUP(A31,所有商品!A:L,7,FALSE)),0)</f>
        <v>0</v>
      </c>
      <c r="L31" s="65">
        <f t="shared" si="0"/>
        <v>0</v>
      </c>
      <c r="M31" s="45"/>
    </row>
    <row r="32" spans="1:13" x14ac:dyDescent="0.3">
      <c r="A32" s="22"/>
      <c r="B32" s="22"/>
      <c r="C32" s="22"/>
      <c r="D32" s="22"/>
      <c r="E32" s="22"/>
      <c r="F32" s="22"/>
      <c r="G32" s="22"/>
      <c r="H32" s="22"/>
      <c r="I32" s="62">
        <v>0</v>
      </c>
      <c r="J32" s="63">
        <v>0</v>
      </c>
      <c r="K32" s="64">
        <f>IFERROR(IF(OR(C32="FC-SAN",C32="IP-SAN"),StoragePrice(D32,I32)/I32,VLOOKUP(A32,所有商品!A:L,7,FALSE)),0)</f>
        <v>0</v>
      </c>
      <c r="L32" s="65">
        <f t="shared" si="0"/>
        <v>0</v>
      </c>
      <c r="M32" s="45"/>
    </row>
    <row r="33" spans="1:13" x14ac:dyDescent="0.3">
      <c r="A33" s="22"/>
      <c r="B33" s="22"/>
      <c r="C33" s="22"/>
      <c r="D33" s="22"/>
      <c r="E33" s="22"/>
      <c r="F33" s="22"/>
      <c r="G33" s="22"/>
      <c r="H33" s="22"/>
      <c r="I33" s="62">
        <v>0</v>
      </c>
      <c r="J33" s="63">
        <v>0</v>
      </c>
      <c r="K33" s="64">
        <f>IFERROR(IF(OR(C33="FC-SAN",C33="IP-SAN"),StoragePrice(D33,I33)/I33,VLOOKUP(A33,所有商品!A:L,7,FALSE)),0)</f>
        <v>0</v>
      </c>
      <c r="L33" s="65">
        <f t="shared" si="0"/>
        <v>0</v>
      </c>
      <c r="M33" s="45"/>
    </row>
    <row r="34" spans="1:13" x14ac:dyDescent="0.3">
      <c r="A34" s="22"/>
      <c r="B34" s="22"/>
      <c r="C34" s="22"/>
      <c r="D34" s="22"/>
      <c r="E34" s="22"/>
      <c r="F34" s="22"/>
      <c r="G34" s="22"/>
      <c r="H34" s="22"/>
      <c r="I34" s="62">
        <v>0</v>
      </c>
      <c r="J34" s="63">
        <v>0</v>
      </c>
      <c r="K34" s="64">
        <f>IFERROR(IF(OR(C34="FC-SAN",C34="IP-SAN"),StoragePrice(D34,I34)/I34,VLOOKUP(A34,所有商品!A:L,7,FALSE)),0)</f>
        <v>0</v>
      </c>
      <c r="L34" s="65">
        <f t="shared" ref="L34:L65" si="1">PRODUCT(I34:K34)</f>
        <v>0</v>
      </c>
      <c r="M34" s="45"/>
    </row>
    <row r="35" spans="1:13" x14ac:dyDescent="0.3">
      <c r="A35" s="22"/>
      <c r="B35" s="22"/>
      <c r="C35" s="22"/>
      <c r="D35" s="22"/>
      <c r="E35" s="22"/>
      <c r="F35" s="22"/>
      <c r="G35" s="22"/>
      <c r="H35" s="22"/>
      <c r="I35" s="62">
        <v>0</v>
      </c>
      <c r="J35" s="63">
        <v>0</v>
      </c>
      <c r="K35" s="64">
        <f>IFERROR(IF(OR(C35="FC-SAN",C35="IP-SAN"),StoragePrice(D35,I35)/I35,VLOOKUP(A35,所有商品!A:L,7,FALSE)),0)</f>
        <v>0</v>
      </c>
      <c r="L35" s="65">
        <f t="shared" si="1"/>
        <v>0</v>
      </c>
      <c r="M35" s="45"/>
    </row>
    <row r="36" spans="1:13" x14ac:dyDescent="0.3">
      <c r="A36" s="22"/>
      <c r="B36" s="22"/>
      <c r="C36" s="22"/>
      <c r="D36" s="22"/>
      <c r="E36" s="22"/>
      <c r="F36" s="22"/>
      <c r="G36" s="22"/>
      <c r="H36" s="22"/>
      <c r="I36" s="62">
        <v>0</v>
      </c>
      <c r="J36" s="63">
        <v>0</v>
      </c>
      <c r="K36" s="64">
        <f>IFERROR(IF(OR(C36="FC-SAN",C36="IP-SAN"),StoragePrice(D36,I36)/I36,VLOOKUP(A36,所有商品!A:L,7,FALSE)),0)</f>
        <v>0</v>
      </c>
      <c r="L36" s="65">
        <f t="shared" si="1"/>
        <v>0</v>
      </c>
      <c r="M36" s="45"/>
    </row>
    <row r="37" spans="1:13" x14ac:dyDescent="0.3">
      <c r="A37" s="22"/>
      <c r="B37" s="22"/>
      <c r="C37" s="22"/>
      <c r="D37" s="22"/>
      <c r="E37" s="22"/>
      <c r="F37" s="22"/>
      <c r="G37" s="22"/>
      <c r="H37" s="22"/>
      <c r="I37" s="62">
        <v>0</v>
      </c>
      <c r="J37" s="63">
        <v>0</v>
      </c>
      <c r="K37" s="64">
        <f>IFERROR(IF(OR(C37="FC-SAN",C37="IP-SAN"),StoragePrice(D37,I37)/I37,VLOOKUP(A37,所有商品!A:L,7,FALSE)),0)</f>
        <v>0</v>
      </c>
      <c r="L37" s="65">
        <f t="shared" si="1"/>
        <v>0</v>
      </c>
      <c r="M37" s="45"/>
    </row>
    <row r="38" spans="1:13" x14ac:dyDescent="0.3">
      <c r="A38" s="22"/>
      <c r="B38" s="22"/>
      <c r="C38" s="22"/>
      <c r="D38" s="22"/>
      <c r="E38" s="22"/>
      <c r="F38" s="22"/>
      <c r="G38" s="22"/>
      <c r="H38" s="22"/>
      <c r="I38" s="62">
        <v>0</v>
      </c>
      <c r="J38" s="63">
        <v>0</v>
      </c>
      <c r="K38" s="64">
        <f>IFERROR(IF(OR(C38="FC-SAN",C38="IP-SAN"),StoragePrice(D38,I38)/I38,VLOOKUP(A38,所有商品!A:L,7,FALSE)),0)</f>
        <v>0</v>
      </c>
      <c r="L38" s="65">
        <f t="shared" si="1"/>
        <v>0</v>
      </c>
      <c r="M38" s="45"/>
    </row>
    <row r="39" spans="1:13" x14ac:dyDescent="0.3">
      <c r="A39" s="22"/>
      <c r="B39" s="22"/>
      <c r="C39" s="22"/>
      <c r="D39" s="22"/>
      <c r="E39" s="22"/>
      <c r="F39" s="22"/>
      <c r="G39" s="22"/>
      <c r="H39" s="22"/>
      <c r="I39" s="62">
        <v>0</v>
      </c>
      <c r="J39" s="63">
        <v>0</v>
      </c>
      <c r="K39" s="64">
        <f>IFERROR(IF(OR(C39="FC-SAN",C39="IP-SAN"),StoragePrice(D39,I39)/I39,VLOOKUP(A39,所有商品!A:L,7,FALSE)),0)</f>
        <v>0</v>
      </c>
      <c r="L39" s="65">
        <f t="shared" si="1"/>
        <v>0</v>
      </c>
      <c r="M39" s="45"/>
    </row>
    <row r="40" spans="1:13" x14ac:dyDescent="0.3">
      <c r="A40" s="22"/>
      <c r="B40" s="22"/>
      <c r="C40" s="22"/>
      <c r="D40" s="22"/>
      <c r="E40" s="22"/>
      <c r="F40" s="22"/>
      <c r="G40" s="22"/>
      <c r="H40" s="22"/>
      <c r="I40" s="62">
        <v>0</v>
      </c>
      <c r="J40" s="63">
        <v>0</v>
      </c>
      <c r="K40" s="64">
        <f>IFERROR(IF(OR(C40="FC-SAN",C40="IP-SAN"),StoragePrice(D40,I40)/I40,VLOOKUP(A40,所有商品!A:L,7,FALSE)),0)</f>
        <v>0</v>
      </c>
      <c r="L40" s="65">
        <f t="shared" si="1"/>
        <v>0</v>
      </c>
      <c r="M40" s="45"/>
    </row>
    <row r="41" spans="1:13" x14ac:dyDescent="0.3">
      <c r="A41" s="22"/>
      <c r="B41" s="22"/>
      <c r="C41" s="22"/>
      <c r="D41" s="22"/>
      <c r="E41" s="22"/>
      <c r="F41" s="22"/>
      <c r="G41" s="22"/>
      <c r="H41" s="22"/>
      <c r="I41" s="62">
        <v>0</v>
      </c>
      <c r="J41" s="63">
        <v>0</v>
      </c>
      <c r="K41" s="64">
        <f>IFERROR(IF(OR(C41="FC-SAN",C41="IP-SAN"),StoragePrice(D41,I41)/I41,VLOOKUP(A41,所有商品!A:L,7,FALSE)),0)</f>
        <v>0</v>
      </c>
      <c r="L41" s="65">
        <f t="shared" si="1"/>
        <v>0</v>
      </c>
      <c r="M41" s="45"/>
    </row>
    <row r="42" spans="1:13" x14ac:dyDescent="0.3">
      <c r="A42" s="22"/>
      <c r="B42" s="22"/>
      <c r="C42" s="22"/>
      <c r="D42" s="22"/>
      <c r="E42" s="22"/>
      <c r="F42" s="22"/>
      <c r="G42" s="22"/>
      <c r="H42" s="22"/>
      <c r="I42" s="62">
        <v>0</v>
      </c>
      <c r="J42" s="63">
        <v>0</v>
      </c>
      <c r="K42" s="64">
        <f>IFERROR(IF(OR(C42="FC-SAN",C42="IP-SAN"),StoragePrice(D42,I42)/I42,VLOOKUP(A42,所有商品!A:L,7,FALSE)),0)</f>
        <v>0</v>
      </c>
      <c r="L42" s="65">
        <f t="shared" si="1"/>
        <v>0</v>
      </c>
      <c r="M42" s="45"/>
    </row>
    <row r="43" spans="1:13" x14ac:dyDescent="0.3">
      <c r="A43" s="22"/>
      <c r="B43" s="22"/>
      <c r="C43" s="22"/>
      <c r="D43" s="22"/>
      <c r="E43" s="22"/>
      <c r="F43" s="22"/>
      <c r="G43" s="22"/>
      <c r="H43" s="22"/>
      <c r="I43" s="62">
        <v>0</v>
      </c>
      <c r="J43" s="63">
        <v>0</v>
      </c>
      <c r="K43" s="64">
        <f>IFERROR(IF(OR(C43="FC-SAN",C43="IP-SAN"),StoragePrice(D43,I43)/I43,VLOOKUP(A43,所有商品!A:L,7,FALSE)),0)</f>
        <v>0</v>
      </c>
      <c r="L43" s="65">
        <f t="shared" si="1"/>
        <v>0</v>
      </c>
      <c r="M43" s="45"/>
    </row>
    <row r="44" spans="1:13" x14ac:dyDescent="0.3">
      <c r="A44" s="22"/>
      <c r="B44" s="22"/>
      <c r="C44" s="22"/>
      <c r="D44" s="22"/>
      <c r="E44" s="22"/>
      <c r="F44" s="22"/>
      <c r="G44" s="22"/>
      <c r="H44" s="22"/>
      <c r="I44" s="62">
        <v>0</v>
      </c>
      <c r="J44" s="63">
        <v>0</v>
      </c>
      <c r="K44" s="64">
        <f>IFERROR(IF(OR(C44="FC-SAN",C44="IP-SAN"),StoragePrice(D44,I44)/I44,VLOOKUP(A44,所有商品!A:L,7,FALSE)),0)</f>
        <v>0</v>
      </c>
      <c r="L44" s="65">
        <f t="shared" si="1"/>
        <v>0</v>
      </c>
      <c r="M44" s="45"/>
    </row>
    <row r="45" spans="1:13" x14ac:dyDescent="0.3">
      <c r="A45" s="22"/>
      <c r="B45" s="22"/>
      <c r="C45" s="22"/>
      <c r="D45" s="22"/>
      <c r="E45" s="22"/>
      <c r="F45" s="22"/>
      <c r="G45" s="22"/>
      <c r="H45" s="22"/>
      <c r="I45" s="62">
        <v>0</v>
      </c>
      <c r="J45" s="63">
        <v>0</v>
      </c>
      <c r="K45" s="64">
        <f>IFERROR(IF(OR(C45="FC-SAN",C45="IP-SAN"),StoragePrice(D45,I45)/I45,VLOOKUP(A45,所有商品!A:L,7,FALSE)),0)</f>
        <v>0</v>
      </c>
      <c r="L45" s="65">
        <f t="shared" si="1"/>
        <v>0</v>
      </c>
      <c r="M45" s="45"/>
    </row>
    <row r="46" spans="1:13" x14ac:dyDescent="0.3">
      <c r="A46" s="22"/>
      <c r="B46" s="22"/>
      <c r="C46" s="22"/>
      <c r="D46" s="22"/>
      <c r="E46" s="22"/>
      <c r="F46" s="22"/>
      <c r="G46" s="22"/>
      <c r="H46" s="22"/>
      <c r="I46" s="62">
        <v>0</v>
      </c>
      <c r="J46" s="63">
        <v>0</v>
      </c>
      <c r="K46" s="64">
        <f>IFERROR(IF(OR(C46="FC-SAN",C46="IP-SAN"),StoragePrice(D46,I46)/I46,VLOOKUP(A46,所有商品!A:L,7,FALSE)),0)</f>
        <v>0</v>
      </c>
      <c r="L46" s="65">
        <f t="shared" si="1"/>
        <v>0</v>
      </c>
      <c r="M46" s="45"/>
    </row>
    <row r="47" spans="1:13" x14ac:dyDescent="0.3">
      <c r="A47" s="22"/>
      <c r="B47" s="22"/>
      <c r="C47" s="22"/>
      <c r="D47" s="22"/>
      <c r="E47" s="22"/>
      <c r="F47" s="22"/>
      <c r="G47" s="22"/>
      <c r="H47" s="22"/>
      <c r="I47" s="62">
        <v>0</v>
      </c>
      <c r="J47" s="63">
        <v>0</v>
      </c>
      <c r="K47" s="64">
        <f>IFERROR(IF(OR(C47="FC-SAN",C47="IP-SAN"),StoragePrice(D47,I47)/I47,VLOOKUP(A47,所有商品!A:L,7,FALSE)),0)</f>
        <v>0</v>
      </c>
      <c r="L47" s="65">
        <f t="shared" si="1"/>
        <v>0</v>
      </c>
      <c r="M47" s="45"/>
    </row>
    <row r="48" spans="1:13" x14ac:dyDescent="0.3">
      <c r="A48" s="22"/>
      <c r="B48" s="22"/>
      <c r="C48" s="22"/>
      <c r="D48" s="22"/>
      <c r="E48" s="22"/>
      <c r="F48" s="22"/>
      <c r="G48" s="22"/>
      <c r="H48" s="22"/>
      <c r="I48" s="62">
        <v>0</v>
      </c>
      <c r="J48" s="63">
        <v>0</v>
      </c>
      <c r="K48" s="64">
        <f>IFERROR(IF(OR(C48="FC-SAN",C48="IP-SAN"),StoragePrice(D48,I48)/I48,VLOOKUP(A48,所有商品!A:L,7,FALSE)),0)</f>
        <v>0</v>
      </c>
      <c r="L48" s="65">
        <f t="shared" si="1"/>
        <v>0</v>
      </c>
      <c r="M48" s="45"/>
    </row>
    <row r="49" spans="1:13" x14ac:dyDescent="0.3">
      <c r="A49" s="22"/>
      <c r="B49" s="22"/>
      <c r="C49" s="22"/>
      <c r="D49" s="22"/>
      <c r="E49" s="22"/>
      <c r="F49" s="22"/>
      <c r="G49" s="22"/>
      <c r="H49" s="22"/>
      <c r="I49" s="62">
        <v>0</v>
      </c>
      <c r="J49" s="63">
        <v>0</v>
      </c>
      <c r="K49" s="64">
        <f>IFERROR(IF(OR(C49="FC-SAN",C49="IP-SAN"),StoragePrice(D49,I49)/I49,VLOOKUP(A49,所有商品!A:L,7,FALSE)),0)</f>
        <v>0</v>
      </c>
      <c r="L49" s="65">
        <f t="shared" si="1"/>
        <v>0</v>
      </c>
      <c r="M49" s="45"/>
    </row>
    <row r="50" spans="1:13" x14ac:dyDescent="0.3">
      <c r="A50" s="22"/>
      <c r="B50" s="22"/>
      <c r="C50" s="22"/>
      <c r="D50" s="22"/>
      <c r="E50" s="22"/>
      <c r="F50" s="22"/>
      <c r="G50" s="22"/>
      <c r="H50" s="22"/>
      <c r="I50" s="62">
        <v>0</v>
      </c>
      <c r="J50" s="63">
        <v>0</v>
      </c>
      <c r="K50" s="64">
        <f>IFERROR(IF(OR(C50="FC-SAN",C50="IP-SAN"),StoragePrice(D50,I50)/I50,VLOOKUP(A50,所有商品!A:L,7,FALSE)),0)</f>
        <v>0</v>
      </c>
      <c r="L50" s="65">
        <f t="shared" si="1"/>
        <v>0</v>
      </c>
      <c r="M50" s="45"/>
    </row>
    <row r="51" spans="1:13" x14ac:dyDescent="0.3">
      <c r="A51" s="22"/>
      <c r="B51" s="22"/>
      <c r="C51" s="22"/>
      <c r="D51" s="22"/>
      <c r="E51" s="22"/>
      <c r="F51" s="22"/>
      <c r="G51" s="22"/>
      <c r="H51" s="22"/>
      <c r="I51" s="62">
        <v>0</v>
      </c>
      <c r="J51" s="63">
        <v>0</v>
      </c>
      <c r="K51" s="64">
        <f>IFERROR(IF(OR(C51="FC-SAN",C51="IP-SAN"),StoragePrice(D51,I51)/I51,VLOOKUP(A51,所有商品!A:L,7,FALSE)),0)</f>
        <v>0</v>
      </c>
      <c r="L51" s="65">
        <f t="shared" si="1"/>
        <v>0</v>
      </c>
      <c r="M51" s="45"/>
    </row>
    <row r="52" spans="1:13" x14ac:dyDescent="0.3">
      <c r="A52" s="22"/>
      <c r="B52" s="22"/>
      <c r="C52" s="22"/>
      <c r="D52" s="22"/>
      <c r="E52" s="22"/>
      <c r="F52" s="22"/>
      <c r="G52" s="22"/>
      <c r="H52" s="22"/>
      <c r="I52" s="62">
        <v>0</v>
      </c>
      <c r="J52" s="63">
        <v>0</v>
      </c>
      <c r="K52" s="64">
        <f>IFERROR(IF(OR(C52="FC-SAN",C52="IP-SAN"),StoragePrice(D52,I52)/I52,VLOOKUP(A52,所有商品!A:L,7,FALSE)),0)</f>
        <v>0</v>
      </c>
      <c r="L52" s="65">
        <f t="shared" si="1"/>
        <v>0</v>
      </c>
      <c r="M52" s="45"/>
    </row>
    <row r="53" spans="1:13" x14ac:dyDescent="0.3">
      <c r="A53" s="22"/>
      <c r="B53" s="22"/>
      <c r="C53" s="22"/>
      <c r="D53" s="22"/>
      <c r="E53" s="22"/>
      <c r="F53" s="22"/>
      <c r="G53" s="22"/>
      <c r="H53" s="22"/>
      <c r="I53" s="62">
        <v>0</v>
      </c>
      <c r="J53" s="63">
        <v>0</v>
      </c>
      <c r="K53" s="64">
        <f>IFERROR(IF(OR(C53="FC-SAN",C53="IP-SAN"),StoragePrice(D53,I53)/I53,VLOOKUP(A53,所有商品!A:L,7,FALSE)),0)</f>
        <v>0</v>
      </c>
      <c r="L53" s="65">
        <f t="shared" si="1"/>
        <v>0</v>
      </c>
      <c r="M53" s="45"/>
    </row>
    <row r="54" spans="1:13" x14ac:dyDescent="0.3">
      <c r="A54" s="22"/>
      <c r="B54" s="22"/>
      <c r="C54" s="22"/>
      <c r="D54" s="22"/>
      <c r="E54" s="22"/>
      <c r="F54" s="22"/>
      <c r="G54" s="22"/>
      <c r="H54" s="22"/>
      <c r="I54" s="62">
        <v>0</v>
      </c>
      <c r="J54" s="63">
        <v>0</v>
      </c>
      <c r="K54" s="64">
        <f>IFERROR(IF(OR(C54="FC-SAN",C54="IP-SAN"),StoragePrice(D54,I54)/I54,VLOOKUP(A54,所有商品!A:L,7,FALSE)),0)</f>
        <v>0</v>
      </c>
      <c r="L54" s="65">
        <f t="shared" si="1"/>
        <v>0</v>
      </c>
      <c r="M54" s="45"/>
    </row>
    <row r="55" spans="1:13" x14ac:dyDescent="0.3">
      <c r="A55" s="22"/>
      <c r="B55" s="22"/>
      <c r="C55" s="22"/>
      <c r="D55" s="22"/>
      <c r="E55" s="22"/>
      <c r="F55" s="22"/>
      <c r="G55" s="22"/>
      <c r="H55" s="22"/>
      <c r="I55" s="62">
        <v>0</v>
      </c>
      <c r="J55" s="63">
        <v>0</v>
      </c>
      <c r="K55" s="64">
        <f>IFERROR(IF(OR(C55="FC-SAN",C55="IP-SAN"),StoragePrice(D55,I55)/I55,VLOOKUP(A55,所有商品!A:L,7,FALSE)),0)</f>
        <v>0</v>
      </c>
      <c r="L55" s="65">
        <f t="shared" si="1"/>
        <v>0</v>
      </c>
      <c r="M55" s="45"/>
    </row>
    <row r="56" spans="1:13" x14ac:dyDescent="0.3">
      <c r="A56" s="22"/>
      <c r="B56" s="22"/>
      <c r="C56" s="22"/>
      <c r="D56" s="22"/>
      <c r="E56" s="22"/>
      <c r="F56" s="22"/>
      <c r="G56" s="22"/>
      <c r="H56" s="22"/>
      <c r="I56" s="62">
        <v>0</v>
      </c>
      <c r="J56" s="63">
        <v>0</v>
      </c>
      <c r="K56" s="64">
        <f>IFERROR(IF(OR(C56="FC-SAN",C56="IP-SAN"),StoragePrice(D56,I56)/I56,VLOOKUP(A56,所有商品!A:L,7,FALSE)),0)</f>
        <v>0</v>
      </c>
      <c r="L56" s="65">
        <f t="shared" si="1"/>
        <v>0</v>
      </c>
      <c r="M56" s="45"/>
    </row>
    <row r="57" spans="1:13" x14ac:dyDescent="0.3">
      <c r="A57" s="22"/>
      <c r="B57" s="22"/>
      <c r="C57" s="22"/>
      <c r="D57" s="22"/>
      <c r="E57" s="22"/>
      <c r="F57" s="22"/>
      <c r="G57" s="22"/>
      <c r="H57" s="22"/>
      <c r="I57" s="62">
        <v>0</v>
      </c>
      <c r="J57" s="63">
        <v>0</v>
      </c>
      <c r="K57" s="64">
        <f>IFERROR(IF(OR(C57="FC-SAN",C57="IP-SAN"),StoragePrice(D57,I57)/I57,VLOOKUP(A57,所有商品!A:L,7,FALSE)),0)</f>
        <v>0</v>
      </c>
      <c r="L57" s="65">
        <f t="shared" si="1"/>
        <v>0</v>
      </c>
      <c r="M57" s="45"/>
    </row>
    <row r="58" spans="1:13" x14ac:dyDescent="0.3">
      <c r="A58" s="22"/>
      <c r="B58" s="22"/>
      <c r="C58" s="22"/>
      <c r="D58" s="22"/>
      <c r="E58" s="22"/>
      <c r="F58" s="22"/>
      <c r="G58" s="22"/>
      <c r="H58" s="22"/>
      <c r="I58" s="62">
        <v>0</v>
      </c>
      <c r="J58" s="63">
        <v>0</v>
      </c>
      <c r="K58" s="64">
        <f>IFERROR(IF(OR(C58="FC-SAN",C58="IP-SAN"),StoragePrice(D58,I58)/I58,VLOOKUP(A58,所有商品!A:L,7,FALSE)),0)</f>
        <v>0</v>
      </c>
      <c r="L58" s="65">
        <f t="shared" si="1"/>
        <v>0</v>
      </c>
      <c r="M58" s="45"/>
    </row>
    <row r="59" spans="1:13" x14ac:dyDescent="0.3">
      <c r="A59" s="22"/>
      <c r="B59" s="22"/>
      <c r="C59" s="22"/>
      <c r="D59" s="22"/>
      <c r="E59" s="22"/>
      <c r="F59" s="22"/>
      <c r="G59" s="22"/>
      <c r="H59" s="22"/>
      <c r="I59" s="62">
        <v>0</v>
      </c>
      <c r="J59" s="63">
        <v>0</v>
      </c>
      <c r="K59" s="64">
        <f>IFERROR(IF(OR(C59="FC-SAN",C59="IP-SAN"),StoragePrice(D59,I59)/I59,VLOOKUP(A59,所有商品!A:L,7,FALSE)),0)</f>
        <v>0</v>
      </c>
      <c r="L59" s="65">
        <f t="shared" si="1"/>
        <v>0</v>
      </c>
      <c r="M59" s="45"/>
    </row>
    <row r="60" spans="1:13" x14ac:dyDescent="0.3">
      <c r="A60" s="22"/>
      <c r="B60" s="22"/>
      <c r="C60" s="22"/>
      <c r="D60" s="22"/>
      <c r="E60" s="22"/>
      <c r="F60" s="22"/>
      <c r="G60" s="22"/>
      <c r="H60" s="22"/>
      <c r="I60" s="62">
        <v>0</v>
      </c>
      <c r="J60" s="63">
        <v>0</v>
      </c>
      <c r="K60" s="64">
        <f>IFERROR(IF(OR(C60="FC-SAN",C60="IP-SAN"),StoragePrice(D60,I60)/I60,VLOOKUP(A60,所有商品!A:L,7,FALSE)),0)</f>
        <v>0</v>
      </c>
      <c r="L60" s="65">
        <f t="shared" si="1"/>
        <v>0</v>
      </c>
      <c r="M60" s="45"/>
    </row>
    <row r="61" spans="1:13" x14ac:dyDescent="0.3">
      <c r="A61" s="22"/>
      <c r="B61" s="22"/>
      <c r="C61" s="22"/>
      <c r="D61" s="22"/>
      <c r="E61" s="22"/>
      <c r="F61" s="22"/>
      <c r="G61" s="22"/>
      <c r="H61" s="22"/>
      <c r="I61" s="62">
        <v>0</v>
      </c>
      <c r="J61" s="63">
        <v>0</v>
      </c>
      <c r="K61" s="64">
        <f>IFERROR(IF(OR(C61="FC-SAN",C61="IP-SAN"),StoragePrice(D61,I61)/I61,VLOOKUP(A61,所有商品!A:L,7,FALSE)),0)</f>
        <v>0</v>
      </c>
      <c r="L61" s="65">
        <f t="shared" si="1"/>
        <v>0</v>
      </c>
      <c r="M61" s="45"/>
    </row>
    <row r="62" spans="1:13" x14ac:dyDescent="0.3">
      <c r="A62" s="22"/>
      <c r="B62" s="22"/>
      <c r="C62" s="22"/>
      <c r="D62" s="22"/>
      <c r="E62" s="22"/>
      <c r="F62" s="22"/>
      <c r="G62" s="22"/>
      <c r="H62" s="22"/>
      <c r="I62" s="62">
        <v>0</v>
      </c>
      <c r="J62" s="63">
        <v>0</v>
      </c>
      <c r="K62" s="64">
        <f>IFERROR(IF(OR(C62="FC-SAN",C62="IP-SAN"),StoragePrice(D62,I62)/I62,VLOOKUP(A62,所有商品!A:L,7,FALSE)),0)</f>
        <v>0</v>
      </c>
      <c r="L62" s="65">
        <f t="shared" si="1"/>
        <v>0</v>
      </c>
      <c r="M62" s="45"/>
    </row>
    <row r="63" spans="1:13" x14ac:dyDescent="0.3">
      <c r="A63" s="22"/>
      <c r="B63" s="22"/>
      <c r="C63" s="22"/>
      <c r="D63" s="22"/>
      <c r="E63" s="22"/>
      <c r="F63" s="22"/>
      <c r="G63" s="22"/>
      <c r="H63" s="22"/>
      <c r="I63" s="62">
        <v>0</v>
      </c>
      <c r="J63" s="63">
        <v>0</v>
      </c>
      <c r="K63" s="64">
        <f>IFERROR(IF(OR(C63="FC-SAN",C63="IP-SAN"),StoragePrice(D63,I63)/I63,VLOOKUP(A63,所有商品!A:L,7,FALSE)),0)</f>
        <v>0</v>
      </c>
      <c r="L63" s="65">
        <f t="shared" si="1"/>
        <v>0</v>
      </c>
      <c r="M63" s="45"/>
    </row>
    <row r="64" spans="1:13" x14ac:dyDescent="0.3">
      <c r="A64" s="22"/>
      <c r="B64" s="22"/>
      <c r="C64" s="22"/>
      <c r="D64" s="22"/>
      <c r="E64" s="22"/>
      <c r="F64" s="22"/>
      <c r="G64" s="22"/>
      <c r="H64" s="22"/>
      <c r="I64" s="62">
        <v>0</v>
      </c>
      <c r="J64" s="63">
        <v>0</v>
      </c>
      <c r="K64" s="64">
        <f>IFERROR(IF(OR(C64="FC-SAN",C64="IP-SAN"),StoragePrice(D64,I64)/I64,VLOOKUP(A64,所有商品!A:L,7,FALSE)),0)</f>
        <v>0</v>
      </c>
      <c r="L64" s="65">
        <f t="shared" si="1"/>
        <v>0</v>
      </c>
      <c r="M64" s="45"/>
    </row>
    <row r="65" spans="1:13" x14ac:dyDescent="0.3">
      <c r="A65" s="22"/>
      <c r="B65" s="22"/>
      <c r="C65" s="22"/>
      <c r="D65" s="22"/>
      <c r="E65" s="22"/>
      <c r="F65" s="22"/>
      <c r="G65" s="22"/>
      <c r="H65" s="22"/>
      <c r="I65" s="62">
        <v>0</v>
      </c>
      <c r="J65" s="63">
        <v>0</v>
      </c>
      <c r="K65" s="64">
        <f>IFERROR(IF(OR(C65="FC-SAN",C65="IP-SAN"),StoragePrice(D65,I65)/I65,VLOOKUP(A65,所有商品!A:L,7,FALSE)),0)</f>
        <v>0</v>
      </c>
      <c r="L65" s="65">
        <f t="shared" si="1"/>
        <v>0</v>
      </c>
      <c r="M65" s="45"/>
    </row>
    <row r="66" spans="1:13" x14ac:dyDescent="0.3">
      <c r="A66" s="22"/>
      <c r="B66" s="22"/>
      <c r="C66" s="22"/>
      <c r="D66" s="22"/>
      <c r="E66" s="22"/>
      <c r="F66" s="22"/>
      <c r="G66" s="22"/>
      <c r="H66" s="22"/>
      <c r="I66" s="62">
        <v>0</v>
      </c>
      <c r="J66" s="63">
        <v>0</v>
      </c>
      <c r="K66" s="64">
        <f>IFERROR(IF(OR(C66="FC-SAN",C66="IP-SAN"),StoragePrice(D66,I66)/I66,VLOOKUP(A66,所有商品!A:L,7,FALSE)),0)</f>
        <v>0</v>
      </c>
      <c r="L66" s="65">
        <f t="shared" ref="L66:L97" si="2">PRODUCT(I66:K66)</f>
        <v>0</v>
      </c>
      <c r="M66" s="45"/>
    </row>
    <row r="67" spans="1:13" x14ac:dyDescent="0.3">
      <c r="A67" s="22"/>
      <c r="B67" s="22"/>
      <c r="C67" s="22"/>
      <c r="D67" s="22"/>
      <c r="E67" s="22"/>
      <c r="F67" s="22"/>
      <c r="G67" s="22"/>
      <c r="H67" s="22"/>
      <c r="I67" s="62">
        <v>0</v>
      </c>
      <c r="J67" s="63">
        <v>0</v>
      </c>
      <c r="K67" s="64">
        <f>IFERROR(IF(OR(C67="FC-SAN",C67="IP-SAN"),StoragePrice(D67,I67)/I67,VLOOKUP(A67,所有商品!A:L,7,FALSE)),0)</f>
        <v>0</v>
      </c>
      <c r="L67" s="65">
        <f t="shared" si="2"/>
        <v>0</v>
      </c>
      <c r="M67" s="45"/>
    </row>
    <row r="68" spans="1:13" x14ac:dyDescent="0.3">
      <c r="A68" s="22"/>
      <c r="B68" s="22"/>
      <c r="C68" s="22"/>
      <c r="D68" s="22"/>
      <c r="E68" s="22"/>
      <c r="F68" s="22"/>
      <c r="G68" s="22"/>
      <c r="H68" s="22"/>
      <c r="I68" s="62">
        <v>0</v>
      </c>
      <c r="J68" s="63">
        <v>0</v>
      </c>
      <c r="K68" s="64">
        <f>IFERROR(IF(OR(C68="FC-SAN",C68="IP-SAN"),StoragePrice(D68,I68)/I68,VLOOKUP(A68,所有商品!A:L,7,FALSE)),0)</f>
        <v>0</v>
      </c>
      <c r="L68" s="65">
        <f t="shared" si="2"/>
        <v>0</v>
      </c>
      <c r="M68" s="45"/>
    </row>
    <row r="69" spans="1:13" x14ac:dyDescent="0.3">
      <c r="A69" s="22"/>
      <c r="B69" s="22"/>
      <c r="C69" s="22"/>
      <c r="D69" s="22"/>
      <c r="E69" s="22"/>
      <c r="F69" s="22"/>
      <c r="G69" s="22"/>
      <c r="H69" s="22"/>
      <c r="I69" s="62">
        <v>0</v>
      </c>
      <c r="J69" s="63">
        <v>0</v>
      </c>
      <c r="K69" s="64">
        <f>IFERROR(IF(OR(C69="FC-SAN",C69="IP-SAN"),StoragePrice(D69,I69)/I69,VLOOKUP(A69,所有商品!A:L,7,FALSE)),0)</f>
        <v>0</v>
      </c>
      <c r="L69" s="65">
        <f t="shared" si="2"/>
        <v>0</v>
      </c>
      <c r="M69" s="45"/>
    </row>
    <row r="70" spans="1:13" x14ac:dyDescent="0.3">
      <c r="A70" s="22"/>
      <c r="B70" s="22"/>
      <c r="C70" s="22"/>
      <c r="D70" s="22"/>
      <c r="E70" s="22"/>
      <c r="F70" s="22"/>
      <c r="G70" s="22"/>
      <c r="H70" s="22"/>
      <c r="I70" s="62">
        <v>0</v>
      </c>
      <c r="J70" s="63">
        <v>0</v>
      </c>
      <c r="K70" s="64">
        <f>IFERROR(IF(OR(C70="FC-SAN",C70="IP-SAN"),StoragePrice(D70,I70)/I70,VLOOKUP(A70,所有商品!A:L,7,FALSE)),0)</f>
        <v>0</v>
      </c>
      <c r="L70" s="65">
        <f t="shared" si="2"/>
        <v>0</v>
      </c>
      <c r="M70" s="45"/>
    </row>
    <row r="71" spans="1:13" x14ac:dyDescent="0.3">
      <c r="A71" s="22"/>
      <c r="B71" s="22"/>
      <c r="C71" s="22"/>
      <c r="D71" s="22"/>
      <c r="E71" s="22"/>
      <c r="F71" s="22"/>
      <c r="G71" s="22"/>
      <c r="H71" s="22"/>
      <c r="I71" s="62">
        <v>0</v>
      </c>
      <c r="J71" s="63">
        <v>0</v>
      </c>
      <c r="K71" s="64">
        <f>IFERROR(IF(OR(C71="FC-SAN",C71="IP-SAN"),StoragePrice(D71,I71)/I71,VLOOKUP(A71,所有商品!A:L,7,FALSE)),0)</f>
        <v>0</v>
      </c>
      <c r="L71" s="65">
        <f t="shared" si="2"/>
        <v>0</v>
      </c>
      <c r="M71" s="45"/>
    </row>
    <row r="72" spans="1:13" x14ac:dyDescent="0.3">
      <c r="A72" s="22"/>
      <c r="B72" s="22"/>
      <c r="C72" s="22"/>
      <c r="D72" s="22"/>
      <c r="E72" s="22"/>
      <c r="F72" s="22"/>
      <c r="G72" s="22"/>
      <c r="H72" s="22"/>
      <c r="I72" s="62">
        <v>0</v>
      </c>
      <c r="J72" s="63">
        <v>0</v>
      </c>
      <c r="K72" s="64">
        <f>IFERROR(IF(OR(C72="FC-SAN",C72="IP-SAN"),StoragePrice(D72,I72)/I72,VLOOKUP(A72,所有商品!A:L,7,FALSE)),0)</f>
        <v>0</v>
      </c>
      <c r="L72" s="65">
        <f t="shared" si="2"/>
        <v>0</v>
      </c>
    </row>
    <row r="73" spans="1:13" x14ac:dyDescent="0.3">
      <c r="A73" s="22"/>
      <c r="B73" s="22"/>
      <c r="C73" s="22"/>
      <c r="D73" s="22"/>
      <c r="E73" s="22"/>
      <c r="F73" s="22"/>
      <c r="G73" s="22"/>
      <c r="H73" s="22"/>
      <c r="I73" s="62">
        <v>0</v>
      </c>
      <c r="J73" s="63">
        <v>0</v>
      </c>
      <c r="K73" s="64">
        <f>IFERROR(IF(OR(C73="FC-SAN",C73="IP-SAN"),StoragePrice(D73,I73)/I73,VLOOKUP(A73,所有商品!A:L,7,FALSE)),0)</f>
        <v>0</v>
      </c>
      <c r="L73" s="65">
        <f t="shared" si="2"/>
        <v>0</v>
      </c>
    </row>
    <row r="74" spans="1:13" x14ac:dyDescent="0.3">
      <c r="A74" s="22"/>
      <c r="B74" s="22"/>
      <c r="C74" s="22"/>
      <c r="D74" s="22"/>
      <c r="E74" s="22"/>
      <c r="F74" s="22"/>
      <c r="G74" s="22"/>
      <c r="H74" s="22"/>
      <c r="I74" s="62">
        <v>0</v>
      </c>
      <c r="J74" s="63">
        <v>0</v>
      </c>
      <c r="K74" s="64">
        <f>IFERROR(IF(OR(C74="FC-SAN",C74="IP-SAN"),StoragePrice(D74,I74)/I74,VLOOKUP(A74,所有商品!A:L,7,FALSE)),0)</f>
        <v>0</v>
      </c>
      <c r="L74" s="65">
        <f t="shared" si="2"/>
        <v>0</v>
      </c>
    </row>
    <row r="75" spans="1:13" x14ac:dyDescent="0.3">
      <c r="A75" s="22"/>
      <c r="B75" s="22"/>
      <c r="C75" s="22"/>
      <c r="D75" s="22"/>
      <c r="E75" s="22"/>
      <c r="F75" s="22"/>
      <c r="G75" s="22"/>
      <c r="H75" s="22"/>
      <c r="I75" s="62">
        <v>0</v>
      </c>
      <c r="J75" s="63">
        <v>0</v>
      </c>
      <c r="K75" s="64">
        <f>IFERROR(IF(OR(C75="FC-SAN",C75="IP-SAN"),StoragePrice(D75,I75)/I75,VLOOKUP(A75,所有商品!A:L,7,FALSE)),0)</f>
        <v>0</v>
      </c>
      <c r="L75" s="65">
        <f t="shared" si="2"/>
        <v>0</v>
      </c>
    </row>
    <row r="76" spans="1:13" x14ac:dyDescent="0.3">
      <c r="A76" s="22"/>
      <c r="B76" s="22"/>
      <c r="C76" s="22"/>
      <c r="D76" s="22"/>
      <c r="E76" s="22"/>
      <c r="F76" s="22"/>
      <c r="G76" s="22"/>
      <c r="H76" s="22"/>
      <c r="I76" s="62">
        <v>0</v>
      </c>
      <c r="J76" s="63">
        <v>0</v>
      </c>
      <c r="K76" s="64">
        <f>IFERROR(IF(OR(C76="FC-SAN",C76="IP-SAN"),StoragePrice(D76,I76)/I76,VLOOKUP(A76,所有商品!A:L,7,FALSE)),0)</f>
        <v>0</v>
      </c>
      <c r="L76" s="65">
        <f t="shared" si="2"/>
        <v>0</v>
      </c>
    </row>
    <row r="77" spans="1:13" x14ac:dyDescent="0.3">
      <c r="A77" s="22"/>
      <c r="B77" s="22"/>
      <c r="C77" s="22"/>
      <c r="D77" s="22"/>
      <c r="E77" s="22"/>
      <c r="F77" s="22"/>
      <c r="G77" s="22"/>
      <c r="H77" s="22"/>
      <c r="I77" s="62">
        <v>0</v>
      </c>
      <c r="J77" s="63">
        <v>0</v>
      </c>
      <c r="K77" s="64">
        <f>IFERROR(IF(OR(C77="FC-SAN",C77="IP-SAN"),StoragePrice(D77,I77)/I77,VLOOKUP(A77,所有商品!A:L,7,FALSE)),0)</f>
        <v>0</v>
      </c>
      <c r="L77" s="65">
        <f t="shared" si="2"/>
        <v>0</v>
      </c>
    </row>
    <row r="78" spans="1:13" x14ac:dyDescent="0.3">
      <c r="A78" s="22"/>
      <c r="B78" s="22"/>
      <c r="C78" s="22"/>
      <c r="D78" s="22"/>
      <c r="E78" s="22"/>
      <c r="F78" s="22"/>
      <c r="G78" s="22"/>
      <c r="H78" s="22"/>
      <c r="I78" s="62">
        <v>0</v>
      </c>
      <c r="J78" s="63">
        <v>0</v>
      </c>
      <c r="K78" s="64">
        <f>IFERROR(IF(OR(C78="FC-SAN",C78="IP-SAN"),StoragePrice(D78,I78)/I78,VLOOKUP(A78,所有商品!A:L,7,FALSE)),0)</f>
        <v>0</v>
      </c>
      <c r="L78" s="65">
        <f t="shared" si="2"/>
        <v>0</v>
      </c>
    </row>
    <row r="79" spans="1:13" x14ac:dyDescent="0.3">
      <c r="A79" s="22"/>
      <c r="B79" s="22"/>
      <c r="C79" s="22"/>
      <c r="D79" s="22"/>
      <c r="E79" s="22"/>
      <c r="F79" s="22"/>
      <c r="G79" s="22"/>
      <c r="H79" s="22"/>
      <c r="I79" s="62">
        <v>0</v>
      </c>
      <c r="J79" s="63">
        <v>0</v>
      </c>
      <c r="K79" s="64">
        <f>IFERROR(IF(OR(C79="FC-SAN",C79="IP-SAN"),StoragePrice(D79,I79)/I79,VLOOKUP(A79,所有商品!A:L,7,FALSE)),0)</f>
        <v>0</v>
      </c>
      <c r="L79" s="65">
        <f t="shared" si="2"/>
        <v>0</v>
      </c>
    </row>
    <row r="80" spans="1:13" x14ac:dyDescent="0.3">
      <c r="A80" s="22"/>
      <c r="B80" s="22"/>
      <c r="C80" s="22"/>
      <c r="D80" s="22"/>
      <c r="E80" s="22"/>
      <c r="F80" s="22"/>
      <c r="G80" s="22"/>
      <c r="H80" s="22"/>
      <c r="I80" s="62">
        <v>0</v>
      </c>
      <c r="J80" s="63">
        <v>0</v>
      </c>
      <c r="K80" s="64">
        <f>IFERROR(IF(OR(C80="FC-SAN",C80="IP-SAN"),StoragePrice(D80,I80)/I80,VLOOKUP(A80,所有商品!A:L,7,FALSE)),0)</f>
        <v>0</v>
      </c>
      <c r="L80" s="65">
        <f t="shared" si="2"/>
        <v>0</v>
      </c>
    </row>
    <row r="81" spans="1:12" x14ac:dyDescent="0.3">
      <c r="A81" s="22"/>
      <c r="B81" s="22"/>
      <c r="C81" s="22"/>
      <c r="D81" s="22"/>
      <c r="E81" s="22"/>
      <c r="F81" s="22"/>
      <c r="G81" s="22"/>
      <c r="H81" s="22"/>
      <c r="I81" s="62">
        <v>0</v>
      </c>
      <c r="J81" s="63">
        <v>0</v>
      </c>
      <c r="K81" s="64">
        <f>IFERROR(IF(OR(C81="FC-SAN",C81="IP-SAN"),StoragePrice(D81,I81)/I81,VLOOKUP(A81,所有商品!A:L,7,FALSE)),0)</f>
        <v>0</v>
      </c>
      <c r="L81" s="65">
        <f t="shared" si="2"/>
        <v>0</v>
      </c>
    </row>
    <row r="82" spans="1:12" x14ac:dyDescent="0.3">
      <c r="A82" s="22"/>
      <c r="B82" s="22"/>
      <c r="C82" s="22"/>
      <c r="D82" s="22"/>
      <c r="E82" s="22"/>
      <c r="F82" s="22"/>
      <c r="G82" s="22"/>
      <c r="H82" s="22"/>
      <c r="I82" s="62">
        <v>0</v>
      </c>
      <c r="J82" s="63">
        <v>0</v>
      </c>
      <c r="K82" s="64">
        <f>IFERROR(IF(OR(C82="FC-SAN",C82="IP-SAN"),StoragePrice(D82,I82)/I82,VLOOKUP(A82,所有商品!A:L,7,FALSE)),0)</f>
        <v>0</v>
      </c>
      <c r="L82" s="65">
        <f t="shared" si="2"/>
        <v>0</v>
      </c>
    </row>
    <row r="83" spans="1:12" x14ac:dyDescent="0.3">
      <c r="A83" s="22"/>
      <c r="B83" s="22"/>
      <c r="C83" s="22"/>
      <c r="D83" s="22"/>
      <c r="E83" s="22"/>
      <c r="F83" s="22"/>
      <c r="G83" s="22"/>
      <c r="H83" s="22"/>
      <c r="I83" s="62">
        <v>0</v>
      </c>
      <c r="J83" s="63">
        <v>0</v>
      </c>
      <c r="K83" s="64">
        <f>IFERROR(IF(OR(C83="FC-SAN",C83="IP-SAN"),StoragePrice(D83,I83)/I83,VLOOKUP(A83,所有商品!A:L,7,FALSE)),0)</f>
        <v>0</v>
      </c>
      <c r="L83" s="65">
        <f t="shared" si="2"/>
        <v>0</v>
      </c>
    </row>
    <row r="84" spans="1:12" x14ac:dyDescent="0.3">
      <c r="A84" s="22"/>
      <c r="B84" s="22"/>
      <c r="C84" s="22"/>
      <c r="D84" s="22"/>
      <c r="E84" s="22"/>
      <c r="F84" s="22"/>
      <c r="G84" s="22"/>
      <c r="H84" s="22"/>
      <c r="I84" s="62">
        <v>0</v>
      </c>
      <c r="J84" s="63">
        <v>0</v>
      </c>
      <c r="K84" s="64">
        <f>IFERROR(IF(OR(C84="FC-SAN",C84="IP-SAN"),StoragePrice(D84,I84)/I84,VLOOKUP(A84,所有商品!A:L,7,FALSE)),0)</f>
        <v>0</v>
      </c>
      <c r="L84" s="65">
        <f t="shared" si="2"/>
        <v>0</v>
      </c>
    </row>
    <row r="85" spans="1:12" x14ac:dyDescent="0.3">
      <c r="A85" s="22"/>
      <c r="B85" s="22"/>
      <c r="C85" s="22"/>
      <c r="D85" s="22"/>
      <c r="E85" s="22"/>
      <c r="F85" s="22"/>
      <c r="G85" s="22"/>
      <c r="H85" s="22"/>
      <c r="I85" s="62">
        <v>0</v>
      </c>
      <c r="J85" s="63">
        <v>0</v>
      </c>
      <c r="K85" s="64">
        <f>IFERROR(IF(OR(C85="FC-SAN",C85="IP-SAN"),StoragePrice(D85,I85)/I85,VLOOKUP(A85,所有商品!A:L,7,FALSE)),0)</f>
        <v>0</v>
      </c>
      <c r="L85" s="65">
        <f t="shared" si="2"/>
        <v>0</v>
      </c>
    </row>
    <row r="86" spans="1:12" x14ac:dyDescent="0.3">
      <c r="A86" s="22"/>
      <c r="B86" s="22"/>
      <c r="C86" s="22"/>
      <c r="D86" s="22"/>
      <c r="E86" s="22"/>
      <c r="F86" s="22"/>
      <c r="G86" s="22"/>
      <c r="H86" s="22"/>
      <c r="I86" s="62">
        <v>0</v>
      </c>
      <c r="J86" s="63">
        <v>0</v>
      </c>
      <c r="K86" s="64">
        <f>IFERROR(IF(OR(C86="FC-SAN",C86="IP-SAN"),StoragePrice(D86,I86)/I86,VLOOKUP(A86,所有商品!A:L,7,FALSE)),0)</f>
        <v>0</v>
      </c>
      <c r="L86" s="65">
        <f t="shared" si="2"/>
        <v>0</v>
      </c>
    </row>
    <row r="87" spans="1:12" x14ac:dyDescent="0.3">
      <c r="A87" s="22"/>
      <c r="B87" s="22"/>
      <c r="C87" s="22"/>
      <c r="D87" s="22"/>
      <c r="E87" s="22"/>
      <c r="F87" s="22"/>
      <c r="G87" s="22"/>
      <c r="H87" s="22"/>
      <c r="I87" s="62">
        <v>0</v>
      </c>
      <c r="J87" s="63">
        <v>0</v>
      </c>
      <c r="K87" s="64">
        <f>IFERROR(IF(OR(C87="FC-SAN",C87="IP-SAN"),StoragePrice(D87,I87)/I87,VLOOKUP(A87,所有商品!A:L,7,FALSE)),0)</f>
        <v>0</v>
      </c>
      <c r="L87" s="65">
        <f t="shared" si="2"/>
        <v>0</v>
      </c>
    </row>
    <row r="88" spans="1:12" x14ac:dyDescent="0.3">
      <c r="A88" s="22"/>
      <c r="B88" s="22"/>
      <c r="C88" s="22"/>
      <c r="D88" s="22"/>
      <c r="E88" s="22"/>
      <c r="F88" s="22"/>
      <c r="G88" s="22"/>
      <c r="H88" s="22"/>
      <c r="I88" s="62">
        <v>0</v>
      </c>
      <c r="J88" s="63">
        <v>0</v>
      </c>
      <c r="K88" s="64">
        <f>IFERROR(IF(OR(C88="FC-SAN",C88="IP-SAN"),StoragePrice(D88,I88)/I88,VLOOKUP(A88,所有商品!A:L,7,FALSE)),0)</f>
        <v>0</v>
      </c>
      <c r="L88" s="65">
        <f t="shared" si="2"/>
        <v>0</v>
      </c>
    </row>
    <row r="89" spans="1:12" x14ac:dyDescent="0.3">
      <c r="A89" s="22"/>
      <c r="B89" s="22"/>
      <c r="C89" s="22"/>
      <c r="D89" s="22"/>
      <c r="E89" s="22"/>
      <c r="F89" s="22"/>
      <c r="G89" s="22"/>
      <c r="H89" s="22"/>
      <c r="I89" s="62">
        <v>0</v>
      </c>
      <c r="J89" s="63">
        <v>0</v>
      </c>
      <c r="K89" s="64">
        <f>IFERROR(IF(OR(C89="FC-SAN",C89="IP-SAN"),StoragePrice(D89,I89)/I89,VLOOKUP(A89,所有商品!A:L,7,FALSE)),0)</f>
        <v>0</v>
      </c>
      <c r="L89" s="65">
        <f t="shared" si="2"/>
        <v>0</v>
      </c>
    </row>
    <row r="90" spans="1:12" x14ac:dyDescent="0.3">
      <c r="A90" s="22"/>
      <c r="B90" s="22"/>
      <c r="C90" s="22"/>
      <c r="D90" s="22"/>
      <c r="E90" s="22"/>
      <c r="F90" s="22"/>
      <c r="G90" s="22"/>
      <c r="H90" s="22"/>
      <c r="I90" s="62">
        <v>0</v>
      </c>
      <c r="J90" s="63">
        <v>0</v>
      </c>
      <c r="K90" s="64">
        <f>IFERROR(IF(OR(C90="FC-SAN",C90="IP-SAN"),StoragePrice(D90,I90)/I90,VLOOKUP(A90,所有商品!A:L,7,FALSE)),0)</f>
        <v>0</v>
      </c>
      <c r="L90" s="65">
        <f t="shared" si="2"/>
        <v>0</v>
      </c>
    </row>
    <row r="91" spans="1:12" x14ac:dyDescent="0.3">
      <c r="A91" s="22"/>
      <c r="B91" s="22"/>
      <c r="C91" s="22"/>
      <c r="D91" s="22"/>
      <c r="E91" s="22"/>
      <c r="F91" s="22"/>
      <c r="G91" s="22"/>
      <c r="H91" s="22"/>
      <c r="I91" s="62">
        <v>0</v>
      </c>
      <c r="J91" s="63">
        <v>0</v>
      </c>
      <c r="K91" s="64">
        <f>IFERROR(IF(OR(C91="FC-SAN",C91="IP-SAN"),StoragePrice(D91,I91)/I91,VLOOKUP(A91,所有商品!A:L,7,FALSE)),0)</f>
        <v>0</v>
      </c>
      <c r="L91" s="65">
        <f t="shared" si="2"/>
        <v>0</v>
      </c>
    </row>
    <row r="92" spans="1:12" x14ac:dyDescent="0.3">
      <c r="A92" s="22"/>
      <c r="B92" s="22"/>
      <c r="C92" s="22"/>
      <c r="D92" s="22"/>
      <c r="E92" s="22"/>
      <c r="F92" s="22"/>
      <c r="G92" s="22"/>
      <c r="H92" s="22"/>
      <c r="I92" s="62">
        <v>0</v>
      </c>
      <c r="J92" s="63">
        <v>0</v>
      </c>
      <c r="K92" s="64">
        <f>IFERROR(IF(OR(C92="FC-SAN",C92="IP-SAN"),StoragePrice(D92,I92)/I92,VLOOKUP(A92,所有商品!A:L,7,FALSE)),0)</f>
        <v>0</v>
      </c>
      <c r="L92" s="65">
        <f t="shared" si="2"/>
        <v>0</v>
      </c>
    </row>
    <row r="93" spans="1:12" x14ac:dyDescent="0.3">
      <c r="A93" s="22"/>
      <c r="B93" s="22"/>
      <c r="C93" s="22"/>
      <c r="D93" s="22"/>
      <c r="E93" s="22"/>
      <c r="F93" s="22"/>
      <c r="G93" s="22"/>
      <c r="H93" s="22"/>
      <c r="I93" s="62">
        <v>0</v>
      </c>
      <c r="J93" s="63">
        <v>0</v>
      </c>
      <c r="K93" s="64">
        <f>IFERROR(IF(OR(C93="FC-SAN",C93="IP-SAN"),StoragePrice(D93,I93)/I93,VLOOKUP(A93,所有商品!A:L,7,FALSE)),0)</f>
        <v>0</v>
      </c>
      <c r="L93" s="65">
        <f t="shared" si="2"/>
        <v>0</v>
      </c>
    </row>
    <row r="94" spans="1:12" x14ac:dyDescent="0.3">
      <c r="A94" s="22"/>
      <c r="B94" s="22"/>
      <c r="C94" s="22"/>
      <c r="D94" s="22"/>
      <c r="E94" s="22"/>
      <c r="F94" s="22"/>
      <c r="G94" s="22"/>
      <c r="H94" s="22"/>
      <c r="I94" s="62">
        <v>0</v>
      </c>
      <c r="J94" s="63">
        <v>0</v>
      </c>
      <c r="K94" s="64">
        <f>IFERROR(IF(OR(C94="FC-SAN",C94="IP-SAN"),StoragePrice(D94,I94)/I94,VLOOKUP(A94,所有商品!A:L,7,FALSE)),0)</f>
        <v>0</v>
      </c>
      <c r="L94" s="65">
        <f t="shared" si="2"/>
        <v>0</v>
      </c>
    </row>
    <row r="95" spans="1:12" x14ac:dyDescent="0.3">
      <c r="A95" s="22"/>
      <c r="B95" s="22"/>
      <c r="C95" s="22"/>
      <c r="D95" s="22"/>
      <c r="E95" s="22"/>
      <c r="F95" s="22"/>
      <c r="G95" s="22"/>
      <c r="H95" s="22"/>
      <c r="I95" s="62">
        <v>0</v>
      </c>
      <c r="J95" s="63">
        <v>0</v>
      </c>
      <c r="K95" s="64">
        <f>IFERROR(IF(OR(C95="FC-SAN",C95="IP-SAN"),StoragePrice(D95,I95)/I95,VLOOKUP(A95,所有商品!A:L,7,FALSE)),0)</f>
        <v>0</v>
      </c>
      <c r="L95" s="65">
        <f t="shared" si="2"/>
        <v>0</v>
      </c>
    </row>
    <row r="96" spans="1:12" x14ac:dyDescent="0.3">
      <c r="A96" s="22"/>
      <c r="B96" s="22"/>
      <c r="C96" s="22"/>
      <c r="D96" s="22"/>
      <c r="E96" s="22"/>
      <c r="F96" s="22"/>
      <c r="G96" s="22"/>
      <c r="H96" s="22"/>
      <c r="I96" s="62">
        <v>0</v>
      </c>
      <c r="J96" s="63">
        <v>0</v>
      </c>
      <c r="K96" s="64">
        <f>IFERROR(IF(OR(C96="FC-SAN",C96="IP-SAN"),StoragePrice(D96,I96)/I96,VLOOKUP(A96,所有商品!A:L,7,FALSE)),0)</f>
        <v>0</v>
      </c>
      <c r="L96" s="65">
        <f t="shared" si="2"/>
        <v>0</v>
      </c>
    </row>
    <row r="97" spans="1:12" x14ac:dyDescent="0.3">
      <c r="A97" s="22"/>
      <c r="B97" s="22"/>
      <c r="C97" s="22"/>
      <c r="D97" s="22"/>
      <c r="E97" s="22"/>
      <c r="F97" s="22"/>
      <c r="G97" s="22"/>
      <c r="H97" s="22"/>
      <c r="I97" s="62">
        <v>0</v>
      </c>
      <c r="J97" s="63">
        <v>0</v>
      </c>
      <c r="K97" s="64">
        <f>IFERROR(IF(OR(C97="FC-SAN",C97="IP-SAN"),StoragePrice(D97,I97)/I97,VLOOKUP(A97,所有商品!A:L,7,FALSE)),0)</f>
        <v>0</v>
      </c>
      <c r="L97" s="65">
        <f t="shared" si="2"/>
        <v>0</v>
      </c>
    </row>
    <row r="98" spans="1:12" x14ac:dyDescent="0.3">
      <c r="A98" s="22"/>
      <c r="B98" s="22"/>
      <c r="C98" s="22"/>
      <c r="D98" s="22"/>
      <c r="E98" s="22"/>
      <c r="F98" s="22"/>
      <c r="G98" s="22"/>
      <c r="H98" s="22"/>
      <c r="I98" s="62">
        <v>0</v>
      </c>
      <c r="J98" s="63">
        <v>0</v>
      </c>
      <c r="K98" s="64">
        <f>IFERROR(IF(OR(C98="FC-SAN",C98="IP-SAN"),StoragePrice(D98,I98)/I98,VLOOKUP(A98,所有商品!A:L,7,FALSE)),0)</f>
        <v>0</v>
      </c>
      <c r="L98" s="65">
        <f t="shared" ref="L98:L109" si="3">PRODUCT(I98:K98)</f>
        <v>0</v>
      </c>
    </row>
    <row r="99" spans="1:12" x14ac:dyDescent="0.3">
      <c r="A99" s="22"/>
      <c r="B99" s="22"/>
      <c r="C99" s="22"/>
      <c r="D99" s="22"/>
      <c r="E99" s="22"/>
      <c r="F99" s="22"/>
      <c r="G99" s="22"/>
      <c r="H99" s="22"/>
      <c r="I99" s="62">
        <v>0</v>
      </c>
      <c r="J99" s="63">
        <v>0</v>
      </c>
      <c r="K99" s="64">
        <f>IFERROR(IF(OR(C99="FC-SAN",C99="IP-SAN"),StoragePrice(D99,I99)/I99,VLOOKUP(A99,所有商品!A:L,7,FALSE)),0)</f>
        <v>0</v>
      </c>
      <c r="L99" s="65">
        <f t="shared" si="3"/>
        <v>0</v>
      </c>
    </row>
    <row r="100" spans="1:12" x14ac:dyDescent="0.3">
      <c r="A100" s="22"/>
      <c r="B100" s="22"/>
      <c r="C100" s="22"/>
      <c r="D100" s="22"/>
      <c r="E100" s="22"/>
      <c r="F100" s="22"/>
      <c r="G100" s="22"/>
      <c r="H100" s="22"/>
      <c r="I100" s="62">
        <v>0</v>
      </c>
      <c r="J100" s="63">
        <v>0</v>
      </c>
      <c r="K100" s="64">
        <f>IFERROR(IF(OR(C100="FC-SAN",C100="IP-SAN"),StoragePrice(D100,I100)/I100,VLOOKUP(A100,所有商品!A:L,7,FALSE)),0)</f>
        <v>0</v>
      </c>
      <c r="L100" s="65">
        <f t="shared" si="3"/>
        <v>0</v>
      </c>
    </row>
    <row r="101" spans="1:12" x14ac:dyDescent="0.3">
      <c r="A101" s="22"/>
      <c r="B101" s="22"/>
      <c r="C101" s="22"/>
      <c r="D101" s="22"/>
      <c r="E101" s="22"/>
      <c r="F101" s="22"/>
      <c r="G101" s="22"/>
      <c r="H101" s="22"/>
      <c r="I101" s="62">
        <v>0</v>
      </c>
      <c r="J101" s="63">
        <v>0</v>
      </c>
      <c r="K101" s="64">
        <f>IFERROR(IF(OR(C101="FC-SAN",C101="IP-SAN"),StoragePrice(D101,I101)/I101,VLOOKUP(A101,所有商品!A:L,7,FALSE)),0)</f>
        <v>0</v>
      </c>
      <c r="L101" s="65">
        <f t="shared" si="3"/>
        <v>0</v>
      </c>
    </row>
    <row r="102" spans="1:12" x14ac:dyDescent="0.3">
      <c r="A102" s="22"/>
      <c r="B102" s="22"/>
      <c r="C102" s="22"/>
      <c r="D102" s="22"/>
      <c r="E102" s="22"/>
      <c r="F102" s="22"/>
      <c r="G102" s="22"/>
      <c r="H102" s="22"/>
      <c r="I102" s="62">
        <v>0</v>
      </c>
      <c r="J102" s="63">
        <v>0</v>
      </c>
      <c r="K102" s="64">
        <f>IFERROR(IF(OR(C102="FC-SAN",C102="IP-SAN"),StoragePrice(D102,I102)/I102,VLOOKUP(A102,所有商品!A:L,7,FALSE)),0)</f>
        <v>0</v>
      </c>
      <c r="L102" s="65">
        <f t="shared" si="3"/>
        <v>0</v>
      </c>
    </row>
    <row r="103" spans="1:12" x14ac:dyDescent="0.3">
      <c r="A103" s="22"/>
      <c r="B103" s="22"/>
      <c r="C103" s="22"/>
      <c r="D103" s="22"/>
      <c r="E103" s="22"/>
      <c r="F103" s="22"/>
      <c r="G103" s="22"/>
      <c r="H103" s="22"/>
      <c r="I103" s="62">
        <v>0</v>
      </c>
      <c r="J103" s="63">
        <v>0</v>
      </c>
      <c r="K103" s="64">
        <f>IFERROR(IF(OR(C103="FC-SAN",C103="IP-SAN"),StoragePrice(D103,I103)/I103,VLOOKUP(A103,所有商品!A:L,7,FALSE)),0)</f>
        <v>0</v>
      </c>
      <c r="L103" s="65">
        <f t="shared" si="3"/>
        <v>0</v>
      </c>
    </row>
    <row r="104" spans="1:12" x14ac:dyDescent="0.3">
      <c r="A104" s="22"/>
      <c r="B104" s="22"/>
      <c r="C104" s="22"/>
      <c r="D104" s="22"/>
      <c r="E104" s="22"/>
      <c r="F104" s="22"/>
      <c r="G104" s="22"/>
      <c r="H104" s="22"/>
      <c r="I104" s="62">
        <v>0</v>
      </c>
      <c r="J104" s="63">
        <v>0</v>
      </c>
      <c r="K104" s="64">
        <f>IFERROR(IF(OR(C104="FC-SAN",C104="IP-SAN"),StoragePrice(D104,I104)/I104,VLOOKUP(A104,所有商品!A:L,7,FALSE)),0)</f>
        <v>0</v>
      </c>
      <c r="L104" s="65">
        <f t="shared" si="3"/>
        <v>0</v>
      </c>
    </row>
    <row r="105" spans="1:12" x14ac:dyDescent="0.3">
      <c r="A105" s="22"/>
      <c r="B105" s="22"/>
      <c r="C105" s="22"/>
      <c r="D105" s="22"/>
      <c r="E105" s="22"/>
      <c r="F105" s="22"/>
      <c r="G105" s="22"/>
      <c r="H105" s="22"/>
      <c r="I105" s="62">
        <v>0</v>
      </c>
      <c r="J105" s="63">
        <v>0</v>
      </c>
      <c r="K105" s="64">
        <f>IFERROR(IF(OR(C105="FC-SAN",C105="IP-SAN"),StoragePrice(D105,I105)/I105,VLOOKUP(A105,所有商品!A:L,7,FALSE)),0)</f>
        <v>0</v>
      </c>
      <c r="L105" s="65">
        <f t="shared" si="3"/>
        <v>0</v>
      </c>
    </row>
    <row r="106" spans="1:12" x14ac:dyDescent="0.3">
      <c r="A106" s="22"/>
      <c r="B106" s="22"/>
      <c r="C106" s="22"/>
      <c r="D106" s="22"/>
      <c r="E106" s="22"/>
      <c r="F106" s="22"/>
      <c r="G106" s="22"/>
      <c r="H106" s="22"/>
      <c r="I106" s="62">
        <v>0</v>
      </c>
      <c r="J106" s="63">
        <v>0</v>
      </c>
      <c r="K106" s="64">
        <f>IFERROR(IF(OR(C106="FC-SAN",C106="IP-SAN"),StoragePrice(D106,I106)/I106,VLOOKUP(A106,所有商品!A:L,7,FALSE)),0)</f>
        <v>0</v>
      </c>
      <c r="L106" s="65">
        <f t="shared" si="3"/>
        <v>0</v>
      </c>
    </row>
    <row r="107" spans="1:12" x14ac:dyDescent="0.3">
      <c r="A107" s="22"/>
      <c r="B107" s="22"/>
      <c r="C107" s="22"/>
      <c r="D107" s="22"/>
      <c r="E107" s="22"/>
      <c r="F107" s="22"/>
      <c r="G107" s="22"/>
      <c r="H107" s="22"/>
      <c r="I107" s="62">
        <v>0</v>
      </c>
      <c r="J107" s="63">
        <v>0</v>
      </c>
      <c r="K107" s="64">
        <f>IFERROR(IF(OR(C107="FC-SAN",C107="IP-SAN"),StoragePrice(D107,I107)/I107,VLOOKUP(A107,所有商品!A:L,7,FALSE)),0)</f>
        <v>0</v>
      </c>
      <c r="L107" s="65">
        <f t="shared" si="3"/>
        <v>0</v>
      </c>
    </row>
    <row r="108" spans="1:12" x14ac:dyDescent="0.3">
      <c r="A108" s="22"/>
      <c r="B108" s="22"/>
      <c r="C108" s="22"/>
      <c r="D108" s="22"/>
      <c r="E108" s="22"/>
      <c r="F108" s="22"/>
      <c r="G108" s="22"/>
      <c r="H108" s="22"/>
      <c r="I108" s="62">
        <v>0</v>
      </c>
      <c r="J108" s="63">
        <v>0</v>
      </c>
      <c r="K108" s="64">
        <f>IFERROR(IF(OR(C108="FC-SAN",C108="IP-SAN"),StoragePrice(D108,I108)/I108,VLOOKUP(A108,所有商品!A:L,7,FALSE)),0)</f>
        <v>0</v>
      </c>
      <c r="L108" s="65">
        <f t="shared" si="3"/>
        <v>0</v>
      </c>
    </row>
    <row r="109" spans="1:12" x14ac:dyDescent="0.3">
      <c r="A109" s="22"/>
      <c r="B109" s="22"/>
      <c r="C109" s="22"/>
      <c r="D109" s="22"/>
      <c r="E109" s="22"/>
      <c r="F109" s="22"/>
      <c r="G109" s="22"/>
      <c r="H109" s="22"/>
      <c r="I109" s="62">
        <v>0</v>
      </c>
      <c r="J109" s="63">
        <v>0</v>
      </c>
      <c r="K109" s="64">
        <f>IFERROR(IF(OR(C109="FC-SAN",C109="IP-SAN"),StoragePrice(D109,I109)/I109,VLOOKUP(A109,所有商品!A:L,7,FALSE)),0)</f>
        <v>0</v>
      </c>
      <c r="L109" s="65">
        <f t="shared" si="3"/>
        <v>0</v>
      </c>
    </row>
    <row r="110" spans="1:12" x14ac:dyDescent="0.3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8"/>
    </row>
    <row r="111" spans="1:12" x14ac:dyDescent="0.3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8"/>
    </row>
    <row r="112" spans="1:12" x14ac:dyDescent="0.3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8"/>
    </row>
    <row r="113" spans="1:11" x14ac:dyDescent="0.3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8"/>
    </row>
    <row r="114" spans="1:11" x14ac:dyDescent="0.3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8"/>
    </row>
    <row r="115" spans="1:11" x14ac:dyDescent="0.3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8"/>
    </row>
    <row r="116" spans="1:11" x14ac:dyDescent="0.3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8"/>
    </row>
    <row r="117" spans="1:11" x14ac:dyDescent="0.3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8"/>
    </row>
    <row r="118" spans="1:11" x14ac:dyDescent="0.3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8"/>
    </row>
    <row r="119" spans="1:11" x14ac:dyDescent="0.3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8"/>
    </row>
    <row r="120" spans="1:11" x14ac:dyDescent="0.3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8"/>
    </row>
    <row r="121" spans="1:11" x14ac:dyDescent="0.3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8"/>
    </row>
    <row r="122" spans="1:11" x14ac:dyDescent="0.3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8"/>
    </row>
    <row r="123" spans="1:11" x14ac:dyDescent="0.3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8"/>
    </row>
    <row r="124" spans="1:11" x14ac:dyDescent="0.3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8"/>
    </row>
    <row r="125" spans="1:11" x14ac:dyDescent="0.3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8"/>
    </row>
    <row r="126" spans="1:11" x14ac:dyDescent="0.3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8"/>
    </row>
    <row r="127" spans="1:11" x14ac:dyDescent="0.3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8"/>
    </row>
    <row r="128" spans="1:11" x14ac:dyDescent="0.3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8"/>
    </row>
    <row r="129" spans="1:11" x14ac:dyDescent="0.3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8"/>
    </row>
    <row r="130" spans="1:11" x14ac:dyDescent="0.3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8"/>
    </row>
    <row r="131" spans="1:11" x14ac:dyDescent="0.3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8"/>
    </row>
    <row r="132" spans="1:11" x14ac:dyDescent="0.3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8"/>
    </row>
    <row r="133" spans="1:11" x14ac:dyDescent="0.3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8"/>
    </row>
    <row r="134" spans="1:11" x14ac:dyDescent="0.3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8"/>
    </row>
    <row r="135" spans="1:11" x14ac:dyDescent="0.3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8"/>
    </row>
    <row r="136" spans="1:11" x14ac:dyDescent="0.3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8"/>
    </row>
    <row r="137" spans="1:11" x14ac:dyDescent="0.3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8"/>
    </row>
    <row r="138" spans="1:11" x14ac:dyDescent="0.3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8"/>
    </row>
    <row r="139" spans="1:11" x14ac:dyDescent="0.3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8"/>
    </row>
    <row r="140" spans="1:11" x14ac:dyDescent="0.3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8"/>
    </row>
    <row r="141" spans="1:11" x14ac:dyDescent="0.3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8"/>
    </row>
    <row r="142" spans="1:11" x14ac:dyDescent="0.3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8"/>
    </row>
    <row r="143" spans="1:11" x14ac:dyDescent="0.3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8"/>
    </row>
    <row r="144" spans="1:11" x14ac:dyDescent="0.3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8"/>
    </row>
    <row r="145" spans="1:11" x14ac:dyDescent="0.3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8"/>
    </row>
    <row r="146" spans="1:11" x14ac:dyDescent="0.3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8"/>
    </row>
    <row r="147" spans="1:11" x14ac:dyDescent="0.3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8"/>
    </row>
    <row r="148" spans="1:11" x14ac:dyDescent="0.3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8"/>
    </row>
    <row r="149" spans="1:11" x14ac:dyDescent="0.3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8"/>
    </row>
    <row r="150" spans="1:11" x14ac:dyDescent="0.3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8"/>
    </row>
    <row r="151" spans="1:11" x14ac:dyDescent="0.3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8"/>
    </row>
    <row r="152" spans="1:11" x14ac:dyDescent="0.3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8"/>
    </row>
    <row r="153" spans="1:11" x14ac:dyDescent="0.3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8"/>
    </row>
    <row r="154" spans="1:11" x14ac:dyDescent="0.3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8"/>
    </row>
    <row r="155" spans="1:11" x14ac:dyDescent="0.3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8"/>
    </row>
    <row r="156" spans="1:11" x14ac:dyDescent="0.3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8"/>
    </row>
    <row r="157" spans="1:11" x14ac:dyDescent="0.3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8"/>
    </row>
    <row r="158" spans="1:11" x14ac:dyDescent="0.3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8"/>
    </row>
    <row r="159" spans="1:11" x14ac:dyDescent="0.3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8"/>
    </row>
    <row r="160" spans="1:11" x14ac:dyDescent="0.3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8"/>
    </row>
    <row r="161" spans="1:11" x14ac:dyDescent="0.3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8"/>
    </row>
    <row r="162" spans="1:11" x14ac:dyDescent="0.3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8"/>
    </row>
    <row r="163" spans="1:11" x14ac:dyDescent="0.3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8"/>
    </row>
    <row r="164" spans="1:11" x14ac:dyDescent="0.3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8"/>
    </row>
    <row r="165" spans="1:11" x14ac:dyDescent="0.3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8"/>
    </row>
    <row r="166" spans="1:11" x14ac:dyDescent="0.3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8"/>
    </row>
    <row r="167" spans="1:11" x14ac:dyDescent="0.3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8"/>
    </row>
    <row r="168" spans="1:11" x14ac:dyDescent="0.3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8"/>
    </row>
    <row r="169" spans="1:11" x14ac:dyDescent="0.3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8"/>
    </row>
    <row r="170" spans="1:11" x14ac:dyDescent="0.3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8"/>
    </row>
    <row r="171" spans="1:11" x14ac:dyDescent="0.3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8"/>
    </row>
    <row r="172" spans="1:11" x14ac:dyDescent="0.3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8"/>
    </row>
    <row r="173" spans="1:11" x14ac:dyDescent="0.3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8"/>
    </row>
    <row r="174" spans="1:11" x14ac:dyDescent="0.3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8"/>
    </row>
    <row r="175" spans="1:11" x14ac:dyDescent="0.3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8"/>
    </row>
    <row r="176" spans="1:11" x14ac:dyDescent="0.3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8"/>
    </row>
    <row r="177" spans="1:11" x14ac:dyDescent="0.3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8"/>
    </row>
    <row r="178" spans="1:11" x14ac:dyDescent="0.3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8"/>
    </row>
    <row r="179" spans="1:11" x14ac:dyDescent="0.3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8"/>
    </row>
    <row r="180" spans="1:11" x14ac:dyDescent="0.3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8"/>
    </row>
    <row r="181" spans="1:11" x14ac:dyDescent="0.3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8"/>
    </row>
    <row r="182" spans="1:11" x14ac:dyDescent="0.3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8"/>
    </row>
    <row r="183" spans="1:11" x14ac:dyDescent="0.3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8"/>
    </row>
    <row r="184" spans="1:11" x14ac:dyDescent="0.3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8"/>
    </row>
    <row r="185" spans="1:11" x14ac:dyDescent="0.3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8"/>
    </row>
    <row r="186" spans="1:11" x14ac:dyDescent="0.3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8"/>
    </row>
    <row r="187" spans="1:11" x14ac:dyDescent="0.3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8"/>
    </row>
    <row r="188" spans="1:11" x14ac:dyDescent="0.3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8"/>
    </row>
    <row r="189" spans="1:11" x14ac:dyDescent="0.3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8"/>
    </row>
    <row r="190" spans="1:11" x14ac:dyDescent="0.3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8"/>
    </row>
    <row r="191" spans="1:11" x14ac:dyDescent="0.3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8"/>
    </row>
    <row r="192" spans="1:11" x14ac:dyDescent="0.3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8"/>
    </row>
    <row r="193" spans="1:11" x14ac:dyDescent="0.3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8"/>
    </row>
    <row r="194" spans="1:11" x14ac:dyDescent="0.3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8"/>
    </row>
    <row r="195" spans="1:11" x14ac:dyDescent="0.3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8"/>
    </row>
    <row r="196" spans="1:11" x14ac:dyDescent="0.3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8"/>
    </row>
    <row r="197" spans="1:11" x14ac:dyDescent="0.3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8"/>
    </row>
    <row r="198" spans="1:11" x14ac:dyDescent="0.3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8"/>
    </row>
    <row r="199" spans="1:11" x14ac:dyDescent="0.3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8"/>
    </row>
    <row r="200" spans="1:11" x14ac:dyDescent="0.3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8"/>
    </row>
    <row r="201" spans="1:11" x14ac:dyDescent="0.3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8"/>
    </row>
    <row r="202" spans="1:11" x14ac:dyDescent="0.3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8"/>
    </row>
    <row r="203" spans="1:11" x14ac:dyDescent="0.3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8"/>
    </row>
    <row r="204" spans="1:11" x14ac:dyDescent="0.3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8"/>
    </row>
    <row r="205" spans="1:11" x14ac:dyDescent="0.3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8"/>
    </row>
    <row r="206" spans="1:11" x14ac:dyDescent="0.3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8"/>
    </row>
    <row r="207" spans="1:11" x14ac:dyDescent="0.3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8"/>
    </row>
    <row r="208" spans="1:11" x14ac:dyDescent="0.3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8"/>
    </row>
    <row r="209" spans="1:11" x14ac:dyDescent="0.3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8"/>
    </row>
    <row r="210" spans="1:11" x14ac:dyDescent="0.3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8"/>
    </row>
    <row r="211" spans="1:11" x14ac:dyDescent="0.3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8"/>
    </row>
    <row r="212" spans="1:11" x14ac:dyDescent="0.3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8"/>
    </row>
    <row r="213" spans="1:11" x14ac:dyDescent="0.3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8"/>
    </row>
    <row r="214" spans="1:11" x14ac:dyDescent="0.3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8"/>
    </row>
    <row r="215" spans="1:11" x14ac:dyDescent="0.3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8"/>
    </row>
    <row r="216" spans="1:11" x14ac:dyDescent="0.3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8"/>
    </row>
    <row r="217" spans="1:11" x14ac:dyDescent="0.3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8"/>
    </row>
    <row r="218" spans="1:11" x14ac:dyDescent="0.3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8"/>
    </row>
    <row r="219" spans="1:11" x14ac:dyDescent="0.3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8"/>
    </row>
    <row r="220" spans="1:11" x14ac:dyDescent="0.3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8"/>
    </row>
    <row r="221" spans="1:11" x14ac:dyDescent="0.3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8"/>
    </row>
    <row r="222" spans="1:11" x14ac:dyDescent="0.3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8"/>
    </row>
    <row r="223" spans="1:11" x14ac:dyDescent="0.3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8"/>
    </row>
    <row r="224" spans="1:11" x14ac:dyDescent="0.3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8"/>
    </row>
    <row r="225" spans="1:11" x14ac:dyDescent="0.3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8"/>
    </row>
    <row r="226" spans="1:11" x14ac:dyDescent="0.3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8"/>
    </row>
    <row r="227" spans="1:11" x14ac:dyDescent="0.3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8"/>
    </row>
    <row r="228" spans="1:11" x14ac:dyDescent="0.3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8"/>
    </row>
    <row r="229" spans="1:11" x14ac:dyDescent="0.3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8"/>
    </row>
    <row r="230" spans="1:11" x14ac:dyDescent="0.3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8"/>
    </row>
    <row r="231" spans="1:11" x14ac:dyDescent="0.3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8"/>
    </row>
    <row r="232" spans="1:11" x14ac:dyDescent="0.3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8"/>
    </row>
    <row r="233" spans="1:11" x14ac:dyDescent="0.3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8"/>
    </row>
    <row r="234" spans="1:11" x14ac:dyDescent="0.3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8"/>
    </row>
    <row r="235" spans="1:11" x14ac:dyDescent="0.3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8"/>
    </row>
    <row r="236" spans="1:11" x14ac:dyDescent="0.3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8"/>
    </row>
    <row r="237" spans="1:11" x14ac:dyDescent="0.3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8"/>
    </row>
    <row r="238" spans="1:11" x14ac:dyDescent="0.3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8"/>
    </row>
    <row r="239" spans="1:11" x14ac:dyDescent="0.3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8"/>
    </row>
    <row r="240" spans="1:11" x14ac:dyDescent="0.3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8"/>
    </row>
    <row r="241" spans="1:11" x14ac:dyDescent="0.3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8"/>
    </row>
    <row r="242" spans="1:11" x14ac:dyDescent="0.3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8"/>
    </row>
    <row r="243" spans="1:11" x14ac:dyDescent="0.3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8"/>
    </row>
    <row r="244" spans="1:11" x14ac:dyDescent="0.3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8"/>
    </row>
    <row r="245" spans="1:11" x14ac:dyDescent="0.3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8"/>
    </row>
    <row r="246" spans="1:11" x14ac:dyDescent="0.3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8"/>
    </row>
    <row r="247" spans="1:11" x14ac:dyDescent="0.3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8"/>
    </row>
    <row r="248" spans="1:11" x14ac:dyDescent="0.3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8"/>
    </row>
    <row r="249" spans="1:11" x14ac:dyDescent="0.3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8"/>
    </row>
    <row r="250" spans="1:11" x14ac:dyDescent="0.3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8"/>
    </row>
    <row r="251" spans="1:11" x14ac:dyDescent="0.3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8"/>
    </row>
    <row r="252" spans="1:11" x14ac:dyDescent="0.3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8"/>
    </row>
    <row r="253" spans="1:11" x14ac:dyDescent="0.3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8"/>
    </row>
    <row r="254" spans="1:11" x14ac:dyDescent="0.3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8"/>
    </row>
    <row r="255" spans="1:11" x14ac:dyDescent="0.3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8"/>
    </row>
    <row r="256" spans="1:11" x14ac:dyDescent="0.3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8"/>
    </row>
    <row r="257" spans="1:11" x14ac:dyDescent="0.3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8"/>
    </row>
    <row r="258" spans="1:11" x14ac:dyDescent="0.3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8"/>
    </row>
    <row r="259" spans="1:11" x14ac:dyDescent="0.3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8"/>
    </row>
    <row r="260" spans="1:11" x14ac:dyDescent="0.3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8"/>
    </row>
    <row r="261" spans="1:11" x14ac:dyDescent="0.3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8"/>
    </row>
    <row r="262" spans="1:11" x14ac:dyDescent="0.3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8"/>
    </row>
    <row r="263" spans="1:11" x14ac:dyDescent="0.3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8"/>
    </row>
    <row r="264" spans="1:11" x14ac:dyDescent="0.3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8"/>
    </row>
    <row r="265" spans="1:11" x14ac:dyDescent="0.3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8"/>
    </row>
    <row r="266" spans="1:11" x14ac:dyDescent="0.3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8"/>
    </row>
    <row r="267" spans="1:11" x14ac:dyDescent="0.3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8"/>
    </row>
    <row r="268" spans="1:11" x14ac:dyDescent="0.3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8"/>
    </row>
    <row r="269" spans="1:11" x14ac:dyDescent="0.3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8"/>
    </row>
    <row r="270" spans="1:11" x14ac:dyDescent="0.3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8"/>
    </row>
    <row r="271" spans="1:11" x14ac:dyDescent="0.3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8"/>
    </row>
    <row r="272" spans="1:11" x14ac:dyDescent="0.3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8"/>
    </row>
    <row r="273" spans="1:11" x14ac:dyDescent="0.3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8"/>
    </row>
    <row r="274" spans="1:11" x14ac:dyDescent="0.3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8"/>
    </row>
    <row r="275" spans="1:11" x14ac:dyDescent="0.3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8"/>
    </row>
    <row r="276" spans="1:11" x14ac:dyDescent="0.3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8"/>
    </row>
    <row r="277" spans="1:11" x14ac:dyDescent="0.3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8"/>
    </row>
    <row r="278" spans="1:11" x14ac:dyDescent="0.3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8"/>
    </row>
    <row r="279" spans="1:11" x14ac:dyDescent="0.3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8"/>
    </row>
    <row r="280" spans="1:11" x14ac:dyDescent="0.3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8"/>
    </row>
    <row r="281" spans="1:11" x14ac:dyDescent="0.3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8"/>
    </row>
    <row r="282" spans="1:11" x14ac:dyDescent="0.3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8"/>
    </row>
    <row r="283" spans="1:11" x14ac:dyDescent="0.3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8"/>
    </row>
    <row r="284" spans="1:11" x14ac:dyDescent="0.3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8"/>
    </row>
    <row r="285" spans="1:11" x14ac:dyDescent="0.3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8"/>
    </row>
    <row r="286" spans="1:11" x14ac:dyDescent="0.3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8"/>
    </row>
    <row r="287" spans="1:11" x14ac:dyDescent="0.3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8"/>
    </row>
    <row r="288" spans="1:11" x14ac:dyDescent="0.3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8"/>
    </row>
    <row r="289" spans="1:11" x14ac:dyDescent="0.3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8"/>
    </row>
    <row r="290" spans="1:11" x14ac:dyDescent="0.3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8"/>
    </row>
    <row r="291" spans="1:11" x14ac:dyDescent="0.3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8"/>
    </row>
    <row r="292" spans="1:11" x14ac:dyDescent="0.3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8"/>
    </row>
    <row r="293" spans="1:11" x14ac:dyDescent="0.3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8"/>
    </row>
    <row r="294" spans="1:11" x14ac:dyDescent="0.3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8"/>
    </row>
    <row r="295" spans="1:11" x14ac:dyDescent="0.3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8"/>
    </row>
    <row r="296" spans="1:11" x14ac:dyDescent="0.3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8"/>
    </row>
    <row r="297" spans="1:11" x14ac:dyDescent="0.3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8"/>
    </row>
    <row r="298" spans="1:11" x14ac:dyDescent="0.3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8"/>
    </row>
    <row r="299" spans="1:11" x14ac:dyDescent="0.3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8"/>
    </row>
    <row r="300" spans="1:11" x14ac:dyDescent="0.3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8"/>
    </row>
    <row r="301" spans="1:11" x14ac:dyDescent="0.3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8"/>
    </row>
    <row r="302" spans="1:11" x14ac:dyDescent="0.3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8"/>
    </row>
    <row r="303" spans="1:11" x14ac:dyDescent="0.3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8"/>
    </row>
    <row r="304" spans="1:11" x14ac:dyDescent="0.3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8"/>
    </row>
    <row r="305" spans="1:11" x14ac:dyDescent="0.3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8"/>
    </row>
    <row r="306" spans="1:11" x14ac:dyDescent="0.3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8"/>
    </row>
    <row r="307" spans="1:11" x14ac:dyDescent="0.3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8"/>
    </row>
    <row r="308" spans="1:11" x14ac:dyDescent="0.3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8"/>
    </row>
    <row r="309" spans="1:11" x14ac:dyDescent="0.3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8"/>
    </row>
    <row r="310" spans="1:11" x14ac:dyDescent="0.3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8"/>
    </row>
    <row r="311" spans="1:11" x14ac:dyDescent="0.3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8"/>
    </row>
    <row r="312" spans="1:11" x14ac:dyDescent="0.3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8"/>
    </row>
    <row r="313" spans="1:11" x14ac:dyDescent="0.3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8"/>
    </row>
    <row r="314" spans="1:11" x14ac:dyDescent="0.3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8"/>
    </row>
    <row r="315" spans="1:11" x14ac:dyDescent="0.3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8"/>
    </row>
    <row r="316" spans="1:11" x14ac:dyDescent="0.3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8"/>
    </row>
    <row r="317" spans="1:11" x14ac:dyDescent="0.3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8"/>
    </row>
    <row r="318" spans="1:11" x14ac:dyDescent="0.3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8"/>
    </row>
    <row r="319" spans="1:11" x14ac:dyDescent="0.3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8"/>
    </row>
    <row r="320" spans="1:11" x14ac:dyDescent="0.3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8"/>
    </row>
    <row r="321" spans="1:11" x14ac:dyDescent="0.3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8"/>
    </row>
    <row r="322" spans="1:11" x14ac:dyDescent="0.3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8"/>
    </row>
    <row r="323" spans="1:11" x14ac:dyDescent="0.3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8"/>
    </row>
    <row r="324" spans="1:11" x14ac:dyDescent="0.3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8"/>
    </row>
    <row r="325" spans="1:11" x14ac:dyDescent="0.3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8"/>
    </row>
    <row r="326" spans="1:11" x14ac:dyDescent="0.3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8"/>
    </row>
    <row r="327" spans="1:11" x14ac:dyDescent="0.3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8"/>
    </row>
    <row r="328" spans="1:11" x14ac:dyDescent="0.3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8"/>
    </row>
    <row r="329" spans="1:11" x14ac:dyDescent="0.3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8"/>
    </row>
    <row r="330" spans="1:11" x14ac:dyDescent="0.3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8"/>
    </row>
    <row r="331" spans="1:11" x14ac:dyDescent="0.3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8"/>
    </row>
    <row r="332" spans="1:11" x14ac:dyDescent="0.3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8"/>
    </row>
    <row r="333" spans="1:11" x14ac:dyDescent="0.3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8"/>
    </row>
    <row r="334" spans="1:11" x14ac:dyDescent="0.3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8"/>
    </row>
    <row r="335" spans="1:11" x14ac:dyDescent="0.3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8"/>
    </row>
    <row r="336" spans="1:11" x14ac:dyDescent="0.3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8"/>
    </row>
    <row r="337" spans="1:11" x14ac:dyDescent="0.3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8"/>
    </row>
    <row r="338" spans="1:11" x14ac:dyDescent="0.3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8"/>
    </row>
    <row r="339" spans="1:11" x14ac:dyDescent="0.3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8"/>
    </row>
    <row r="340" spans="1:11" x14ac:dyDescent="0.3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8"/>
    </row>
    <row r="341" spans="1:11" x14ac:dyDescent="0.3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8"/>
    </row>
    <row r="342" spans="1:11" x14ac:dyDescent="0.3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8"/>
    </row>
    <row r="343" spans="1:11" x14ac:dyDescent="0.3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8"/>
    </row>
    <row r="344" spans="1:11" x14ac:dyDescent="0.3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8"/>
    </row>
    <row r="345" spans="1:11" x14ac:dyDescent="0.3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8"/>
    </row>
    <row r="346" spans="1:11" x14ac:dyDescent="0.3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8"/>
    </row>
    <row r="347" spans="1:11" x14ac:dyDescent="0.3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8"/>
    </row>
    <row r="348" spans="1:11" x14ac:dyDescent="0.3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8"/>
    </row>
    <row r="349" spans="1:11" x14ac:dyDescent="0.3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8"/>
    </row>
    <row r="350" spans="1:11" x14ac:dyDescent="0.3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8"/>
    </row>
    <row r="351" spans="1:11" x14ac:dyDescent="0.3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8"/>
    </row>
    <row r="352" spans="1:11" x14ac:dyDescent="0.3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8"/>
    </row>
    <row r="353" spans="1:11" x14ac:dyDescent="0.3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8"/>
    </row>
    <row r="354" spans="1:11" x14ac:dyDescent="0.3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8"/>
    </row>
    <row r="355" spans="1:11" x14ac:dyDescent="0.3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8"/>
    </row>
    <row r="356" spans="1:11" x14ac:dyDescent="0.3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8"/>
    </row>
    <row r="357" spans="1:11" x14ac:dyDescent="0.3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8"/>
    </row>
    <row r="358" spans="1:11" x14ac:dyDescent="0.3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8"/>
    </row>
    <row r="359" spans="1:11" x14ac:dyDescent="0.3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8"/>
    </row>
    <row r="360" spans="1:11" x14ac:dyDescent="0.3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8"/>
    </row>
    <row r="361" spans="1:11" x14ac:dyDescent="0.3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8"/>
    </row>
    <row r="362" spans="1:11" x14ac:dyDescent="0.3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8"/>
    </row>
    <row r="363" spans="1:11" x14ac:dyDescent="0.3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8"/>
    </row>
    <row r="364" spans="1:11" x14ac:dyDescent="0.3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8"/>
    </row>
    <row r="365" spans="1:11" x14ac:dyDescent="0.3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8"/>
    </row>
    <row r="366" spans="1:11" x14ac:dyDescent="0.3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8"/>
    </row>
    <row r="367" spans="1:11" x14ac:dyDescent="0.3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8"/>
    </row>
    <row r="368" spans="1:11" x14ac:dyDescent="0.3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8"/>
    </row>
    <row r="369" spans="1:11" x14ac:dyDescent="0.3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8"/>
    </row>
    <row r="370" spans="1:11" x14ac:dyDescent="0.3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8"/>
    </row>
    <row r="371" spans="1:11" x14ac:dyDescent="0.3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8"/>
    </row>
    <row r="372" spans="1:11" x14ac:dyDescent="0.3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8"/>
    </row>
    <row r="373" spans="1:11" x14ac:dyDescent="0.3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8"/>
    </row>
    <row r="374" spans="1:11" x14ac:dyDescent="0.3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8"/>
    </row>
    <row r="375" spans="1:11" x14ac:dyDescent="0.3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8"/>
    </row>
    <row r="376" spans="1:11" x14ac:dyDescent="0.3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8"/>
    </row>
    <row r="377" spans="1:11" x14ac:dyDescent="0.3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8"/>
    </row>
    <row r="378" spans="1:11" x14ac:dyDescent="0.3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8"/>
    </row>
    <row r="379" spans="1:11" x14ac:dyDescent="0.3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8"/>
    </row>
    <row r="380" spans="1:11" x14ac:dyDescent="0.3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8"/>
    </row>
    <row r="381" spans="1:11" x14ac:dyDescent="0.3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8"/>
    </row>
    <row r="382" spans="1:11" x14ac:dyDescent="0.3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8"/>
    </row>
    <row r="383" spans="1:11" x14ac:dyDescent="0.3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8"/>
    </row>
    <row r="384" spans="1:11" x14ac:dyDescent="0.3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8"/>
    </row>
    <row r="385" spans="1:11" x14ac:dyDescent="0.3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8"/>
    </row>
    <row r="386" spans="1:11" x14ac:dyDescent="0.3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8"/>
    </row>
    <row r="387" spans="1:11" x14ac:dyDescent="0.3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8"/>
    </row>
    <row r="388" spans="1:11" x14ac:dyDescent="0.3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8"/>
    </row>
    <row r="389" spans="1:11" x14ac:dyDescent="0.3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8"/>
    </row>
    <row r="390" spans="1:11" x14ac:dyDescent="0.3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8"/>
    </row>
    <row r="391" spans="1:11" x14ac:dyDescent="0.3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8"/>
    </row>
    <row r="392" spans="1:11" x14ac:dyDescent="0.3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8"/>
    </row>
    <row r="393" spans="1:11" x14ac:dyDescent="0.3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8"/>
    </row>
    <row r="394" spans="1:11" x14ac:dyDescent="0.3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8"/>
    </row>
    <row r="395" spans="1:11" x14ac:dyDescent="0.3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8"/>
    </row>
    <row r="396" spans="1:11" x14ac:dyDescent="0.3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8"/>
    </row>
    <row r="397" spans="1:11" x14ac:dyDescent="0.3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8"/>
    </row>
    <row r="398" spans="1:11" x14ac:dyDescent="0.3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8"/>
    </row>
    <row r="399" spans="1:11" x14ac:dyDescent="0.3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8"/>
    </row>
    <row r="400" spans="1:11" x14ac:dyDescent="0.3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8"/>
    </row>
    <row r="401" spans="1:11" x14ac:dyDescent="0.3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8"/>
    </row>
    <row r="402" spans="1:11" x14ac:dyDescent="0.3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8"/>
    </row>
    <row r="403" spans="1:11" x14ac:dyDescent="0.3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8"/>
    </row>
    <row r="404" spans="1:11" x14ac:dyDescent="0.3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8"/>
    </row>
    <row r="405" spans="1:11" x14ac:dyDescent="0.3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8"/>
    </row>
    <row r="406" spans="1:11" x14ac:dyDescent="0.3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8"/>
    </row>
    <row r="407" spans="1:11" x14ac:dyDescent="0.3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8"/>
    </row>
    <row r="408" spans="1:11" x14ac:dyDescent="0.3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8"/>
    </row>
    <row r="409" spans="1:11" x14ac:dyDescent="0.3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8"/>
    </row>
    <row r="410" spans="1:11" x14ac:dyDescent="0.3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8"/>
    </row>
    <row r="411" spans="1:11" x14ac:dyDescent="0.3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8"/>
    </row>
    <row r="412" spans="1:11" x14ac:dyDescent="0.3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8"/>
    </row>
    <row r="413" spans="1:11" x14ac:dyDescent="0.3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8"/>
    </row>
    <row r="414" spans="1:11" x14ac:dyDescent="0.3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8"/>
    </row>
    <row r="415" spans="1:11" x14ac:dyDescent="0.3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8"/>
    </row>
    <row r="416" spans="1:11" x14ac:dyDescent="0.3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8"/>
    </row>
    <row r="417" spans="1:11" x14ac:dyDescent="0.3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8"/>
    </row>
    <row r="418" spans="1:11" x14ac:dyDescent="0.3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8"/>
    </row>
    <row r="419" spans="1:11" x14ac:dyDescent="0.3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8"/>
    </row>
    <row r="420" spans="1:11" x14ac:dyDescent="0.3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8"/>
    </row>
    <row r="421" spans="1:11" x14ac:dyDescent="0.3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8"/>
    </row>
    <row r="422" spans="1:11" x14ac:dyDescent="0.3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8"/>
    </row>
    <row r="423" spans="1:11" x14ac:dyDescent="0.3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8"/>
    </row>
    <row r="424" spans="1:11" x14ac:dyDescent="0.3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8"/>
    </row>
    <row r="425" spans="1:11" x14ac:dyDescent="0.3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8"/>
    </row>
    <row r="426" spans="1:11" x14ac:dyDescent="0.3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8"/>
    </row>
    <row r="427" spans="1:11" x14ac:dyDescent="0.3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8"/>
    </row>
    <row r="428" spans="1:11" x14ac:dyDescent="0.3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8"/>
    </row>
    <row r="429" spans="1:11" x14ac:dyDescent="0.3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8"/>
    </row>
    <row r="430" spans="1:11" x14ac:dyDescent="0.3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8"/>
    </row>
    <row r="431" spans="1:11" x14ac:dyDescent="0.3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8"/>
    </row>
    <row r="432" spans="1:11" x14ac:dyDescent="0.3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8"/>
    </row>
    <row r="433" spans="1:11" x14ac:dyDescent="0.3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8"/>
    </row>
    <row r="434" spans="1:11" x14ac:dyDescent="0.3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8"/>
    </row>
    <row r="435" spans="1:11" x14ac:dyDescent="0.3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8"/>
    </row>
    <row r="436" spans="1:11" x14ac:dyDescent="0.3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8"/>
    </row>
    <row r="437" spans="1:11" x14ac:dyDescent="0.3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8"/>
    </row>
    <row r="438" spans="1:11" x14ac:dyDescent="0.3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8"/>
    </row>
    <row r="439" spans="1:11" x14ac:dyDescent="0.3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8"/>
    </row>
    <row r="440" spans="1:11" x14ac:dyDescent="0.3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8"/>
    </row>
    <row r="441" spans="1:11" x14ac:dyDescent="0.3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8"/>
    </row>
    <row r="442" spans="1:11" x14ac:dyDescent="0.3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8"/>
    </row>
    <row r="443" spans="1:11" x14ac:dyDescent="0.3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8"/>
    </row>
    <row r="444" spans="1:11" x14ac:dyDescent="0.3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8"/>
    </row>
    <row r="445" spans="1:11" x14ac:dyDescent="0.3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8"/>
    </row>
    <row r="446" spans="1:11" x14ac:dyDescent="0.3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8"/>
    </row>
    <row r="447" spans="1:11" x14ac:dyDescent="0.3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8"/>
    </row>
    <row r="448" spans="1:11" x14ac:dyDescent="0.3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8"/>
    </row>
    <row r="449" spans="1:11" x14ac:dyDescent="0.3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8"/>
    </row>
    <row r="450" spans="1:11" x14ac:dyDescent="0.3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8"/>
    </row>
    <row r="451" spans="1:11" x14ac:dyDescent="0.3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8"/>
    </row>
    <row r="452" spans="1:11" x14ac:dyDescent="0.3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8"/>
    </row>
    <row r="453" spans="1:11" x14ac:dyDescent="0.3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8"/>
    </row>
    <row r="454" spans="1:11" x14ac:dyDescent="0.3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8"/>
    </row>
    <row r="455" spans="1:11" x14ac:dyDescent="0.3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8"/>
    </row>
    <row r="456" spans="1:11" x14ac:dyDescent="0.3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8"/>
    </row>
    <row r="457" spans="1:11" x14ac:dyDescent="0.3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8"/>
    </row>
    <row r="458" spans="1:11" x14ac:dyDescent="0.3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8"/>
    </row>
    <row r="459" spans="1:11" x14ac:dyDescent="0.3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8"/>
    </row>
    <row r="460" spans="1:11" x14ac:dyDescent="0.3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8"/>
    </row>
    <row r="461" spans="1:11" x14ac:dyDescent="0.3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8"/>
    </row>
    <row r="462" spans="1:11" x14ac:dyDescent="0.3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8"/>
    </row>
    <row r="463" spans="1:11" x14ac:dyDescent="0.3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8"/>
    </row>
    <row r="464" spans="1:11" x14ac:dyDescent="0.3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8"/>
    </row>
    <row r="465" spans="1:11" x14ac:dyDescent="0.3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8"/>
    </row>
    <row r="466" spans="1:11" x14ac:dyDescent="0.3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8"/>
    </row>
    <row r="467" spans="1:11" x14ac:dyDescent="0.3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8"/>
    </row>
    <row r="468" spans="1:11" x14ac:dyDescent="0.3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8"/>
    </row>
    <row r="469" spans="1:11" x14ac:dyDescent="0.3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8"/>
    </row>
    <row r="470" spans="1:11" x14ac:dyDescent="0.3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8"/>
    </row>
    <row r="471" spans="1:11" x14ac:dyDescent="0.3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8"/>
    </row>
    <row r="472" spans="1:11" x14ac:dyDescent="0.3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8"/>
    </row>
    <row r="473" spans="1:11" x14ac:dyDescent="0.3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8"/>
    </row>
    <row r="474" spans="1:11" x14ac:dyDescent="0.3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8"/>
    </row>
    <row r="475" spans="1:11" x14ac:dyDescent="0.3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8"/>
    </row>
    <row r="476" spans="1:11" x14ac:dyDescent="0.3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8"/>
    </row>
    <row r="477" spans="1:11" x14ac:dyDescent="0.3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8"/>
    </row>
    <row r="478" spans="1:11" x14ac:dyDescent="0.3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8"/>
    </row>
    <row r="479" spans="1:11" x14ac:dyDescent="0.3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8"/>
    </row>
    <row r="480" spans="1:11" x14ac:dyDescent="0.3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8"/>
    </row>
    <row r="481" spans="1:11" x14ac:dyDescent="0.3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8"/>
    </row>
    <row r="482" spans="1:11" x14ac:dyDescent="0.3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8"/>
    </row>
    <row r="483" spans="1:11" x14ac:dyDescent="0.3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8"/>
    </row>
    <row r="484" spans="1:11" x14ac:dyDescent="0.3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8"/>
    </row>
    <row r="485" spans="1:11" x14ac:dyDescent="0.3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8"/>
    </row>
    <row r="486" spans="1:11" x14ac:dyDescent="0.3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8"/>
    </row>
    <row r="487" spans="1:11" x14ac:dyDescent="0.3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8"/>
    </row>
    <row r="488" spans="1:11" x14ac:dyDescent="0.3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8"/>
    </row>
    <row r="489" spans="1:11" x14ac:dyDescent="0.3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8"/>
    </row>
    <row r="490" spans="1:11" x14ac:dyDescent="0.3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8"/>
    </row>
    <row r="491" spans="1:11" x14ac:dyDescent="0.3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8"/>
    </row>
    <row r="492" spans="1:11" x14ac:dyDescent="0.3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8"/>
    </row>
    <row r="493" spans="1:11" x14ac:dyDescent="0.3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8"/>
    </row>
    <row r="494" spans="1:11" x14ac:dyDescent="0.3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8"/>
    </row>
    <row r="495" spans="1:11" x14ac:dyDescent="0.3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8"/>
    </row>
    <row r="496" spans="1:11" x14ac:dyDescent="0.3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8"/>
    </row>
    <row r="497" spans="1:11" x14ac:dyDescent="0.3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8"/>
    </row>
    <row r="498" spans="1:11" x14ac:dyDescent="0.3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8"/>
    </row>
    <row r="499" spans="1:11" x14ac:dyDescent="0.3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8"/>
    </row>
    <row r="500" spans="1:11" x14ac:dyDescent="0.3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8"/>
    </row>
    <row r="501" spans="1:11" x14ac:dyDescent="0.3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8"/>
    </row>
    <row r="502" spans="1:11" x14ac:dyDescent="0.3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8"/>
    </row>
    <row r="503" spans="1:11" x14ac:dyDescent="0.3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8"/>
    </row>
    <row r="504" spans="1:11" x14ac:dyDescent="0.3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8"/>
    </row>
    <row r="505" spans="1:11" x14ac:dyDescent="0.3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8"/>
    </row>
    <row r="506" spans="1:11" x14ac:dyDescent="0.3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8"/>
    </row>
    <row r="507" spans="1:11" x14ac:dyDescent="0.3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8"/>
    </row>
    <row r="508" spans="1:11" x14ac:dyDescent="0.3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8"/>
    </row>
    <row r="509" spans="1:11" x14ac:dyDescent="0.3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8"/>
    </row>
    <row r="510" spans="1:11" x14ac:dyDescent="0.3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8"/>
    </row>
    <row r="511" spans="1:11" x14ac:dyDescent="0.3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8"/>
    </row>
    <row r="512" spans="1:11" x14ac:dyDescent="0.3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8"/>
    </row>
    <row r="513" spans="1:11" x14ac:dyDescent="0.3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8"/>
    </row>
    <row r="514" spans="1:11" x14ac:dyDescent="0.3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8"/>
    </row>
    <row r="515" spans="1:11" x14ac:dyDescent="0.3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8"/>
    </row>
    <row r="516" spans="1:11" x14ac:dyDescent="0.3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8"/>
    </row>
    <row r="517" spans="1:11" x14ac:dyDescent="0.3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8"/>
    </row>
    <row r="518" spans="1:11" x14ac:dyDescent="0.3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8"/>
    </row>
    <row r="519" spans="1:11" x14ac:dyDescent="0.3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8"/>
    </row>
    <row r="520" spans="1:11" x14ac:dyDescent="0.3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8"/>
    </row>
    <row r="521" spans="1:11" x14ac:dyDescent="0.3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8"/>
    </row>
    <row r="522" spans="1:11" x14ac:dyDescent="0.3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8"/>
    </row>
    <row r="523" spans="1:11" x14ac:dyDescent="0.3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8"/>
    </row>
    <row r="524" spans="1:11" x14ac:dyDescent="0.3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8"/>
    </row>
    <row r="525" spans="1:11" x14ac:dyDescent="0.3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8"/>
    </row>
    <row r="526" spans="1:11" x14ac:dyDescent="0.3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8"/>
    </row>
    <row r="527" spans="1:11" x14ac:dyDescent="0.3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8"/>
    </row>
    <row r="528" spans="1:11" x14ac:dyDescent="0.3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8"/>
    </row>
    <row r="529" spans="1:11" x14ac:dyDescent="0.3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8"/>
    </row>
    <row r="530" spans="1:11" x14ac:dyDescent="0.3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8"/>
    </row>
    <row r="531" spans="1:11" x14ac:dyDescent="0.3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8"/>
    </row>
    <row r="532" spans="1:11" x14ac:dyDescent="0.3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8"/>
    </row>
    <row r="533" spans="1:11" x14ac:dyDescent="0.3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8"/>
    </row>
    <row r="534" spans="1:11" x14ac:dyDescent="0.3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8"/>
    </row>
    <row r="535" spans="1:11" x14ac:dyDescent="0.3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8"/>
    </row>
    <row r="536" spans="1:11" x14ac:dyDescent="0.3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8"/>
    </row>
    <row r="537" spans="1:11" x14ac:dyDescent="0.3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8"/>
    </row>
    <row r="538" spans="1:11" x14ac:dyDescent="0.3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8"/>
    </row>
    <row r="539" spans="1:11" x14ac:dyDescent="0.3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8"/>
    </row>
    <row r="540" spans="1:11" x14ac:dyDescent="0.3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8"/>
    </row>
    <row r="541" spans="1:11" x14ac:dyDescent="0.3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8"/>
    </row>
    <row r="542" spans="1:11" x14ac:dyDescent="0.3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8"/>
    </row>
    <row r="543" spans="1:11" x14ac:dyDescent="0.3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8"/>
    </row>
    <row r="544" spans="1:11" x14ac:dyDescent="0.3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8"/>
    </row>
    <row r="545" spans="1:11" x14ac:dyDescent="0.3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8"/>
    </row>
    <row r="546" spans="1:11" x14ac:dyDescent="0.3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8"/>
    </row>
    <row r="547" spans="1:11" x14ac:dyDescent="0.3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8"/>
    </row>
    <row r="548" spans="1:11" x14ac:dyDescent="0.3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8"/>
    </row>
    <row r="549" spans="1:11" x14ac:dyDescent="0.3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8"/>
    </row>
    <row r="550" spans="1:11" x14ac:dyDescent="0.3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8"/>
    </row>
    <row r="551" spans="1:11" x14ac:dyDescent="0.3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8"/>
    </row>
    <row r="552" spans="1:11" x14ac:dyDescent="0.3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8"/>
    </row>
    <row r="553" spans="1:11" x14ac:dyDescent="0.3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8"/>
    </row>
    <row r="554" spans="1:11" x14ac:dyDescent="0.3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8"/>
    </row>
    <row r="555" spans="1:11" x14ac:dyDescent="0.3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8"/>
    </row>
    <row r="556" spans="1:11" x14ac:dyDescent="0.3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8"/>
    </row>
    <row r="557" spans="1:11" x14ac:dyDescent="0.3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8"/>
    </row>
    <row r="558" spans="1:11" x14ac:dyDescent="0.3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8"/>
    </row>
    <row r="559" spans="1:11" x14ac:dyDescent="0.3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8"/>
    </row>
    <row r="560" spans="1:11" x14ac:dyDescent="0.3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8"/>
    </row>
    <row r="561" spans="1:11" x14ac:dyDescent="0.3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8"/>
    </row>
    <row r="562" spans="1:11" x14ac:dyDescent="0.3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8"/>
    </row>
    <row r="563" spans="1:11" x14ac:dyDescent="0.3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8"/>
    </row>
    <row r="564" spans="1:11" x14ac:dyDescent="0.3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8"/>
    </row>
    <row r="565" spans="1:11" x14ac:dyDescent="0.3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8"/>
    </row>
    <row r="566" spans="1:11" x14ac:dyDescent="0.3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8"/>
    </row>
    <row r="567" spans="1:11" x14ac:dyDescent="0.3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8"/>
    </row>
    <row r="568" spans="1:11" x14ac:dyDescent="0.3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8"/>
    </row>
    <row r="569" spans="1:11" x14ac:dyDescent="0.3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8"/>
    </row>
    <row r="570" spans="1:11" x14ac:dyDescent="0.3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8"/>
    </row>
    <row r="571" spans="1:11" x14ac:dyDescent="0.3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8"/>
    </row>
    <row r="572" spans="1:11" x14ac:dyDescent="0.3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8"/>
    </row>
    <row r="573" spans="1:11" x14ac:dyDescent="0.3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8"/>
    </row>
    <row r="574" spans="1:11" x14ac:dyDescent="0.3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8"/>
    </row>
    <row r="575" spans="1:11" x14ac:dyDescent="0.3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8"/>
    </row>
    <row r="576" spans="1:11" x14ac:dyDescent="0.3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8"/>
    </row>
    <row r="577" spans="1:11" x14ac:dyDescent="0.3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8"/>
    </row>
    <row r="578" spans="1:11" x14ac:dyDescent="0.3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8"/>
    </row>
    <row r="579" spans="1:11" x14ac:dyDescent="0.3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8"/>
    </row>
    <row r="580" spans="1:11" x14ac:dyDescent="0.3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8"/>
    </row>
    <row r="581" spans="1:11" x14ac:dyDescent="0.3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8"/>
    </row>
    <row r="582" spans="1:11" x14ac:dyDescent="0.3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8"/>
    </row>
    <row r="583" spans="1:11" x14ac:dyDescent="0.3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8"/>
    </row>
    <row r="584" spans="1:11" x14ac:dyDescent="0.3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8"/>
    </row>
    <row r="585" spans="1:11" x14ac:dyDescent="0.3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8"/>
    </row>
    <row r="586" spans="1:11" x14ac:dyDescent="0.3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8"/>
    </row>
    <row r="587" spans="1:11" x14ac:dyDescent="0.3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8"/>
    </row>
    <row r="588" spans="1:11" x14ac:dyDescent="0.3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8"/>
    </row>
    <row r="589" spans="1:11" x14ac:dyDescent="0.3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8"/>
    </row>
    <row r="590" spans="1:11" x14ac:dyDescent="0.3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8"/>
    </row>
    <row r="591" spans="1:11" x14ac:dyDescent="0.3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8"/>
    </row>
    <row r="592" spans="1:11" x14ac:dyDescent="0.3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8"/>
    </row>
    <row r="593" spans="1:11" x14ac:dyDescent="0.3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8"/>
    </row>
    <row r="594" spans="1:11" x14ac:dyDescent="0.3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8"/>
    </row>
    <row r="595" spans="1:11" x14ac:dyDescent="0.3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8"/>
    </row>
    <row r="596" spans="1:11" x14ac:dyDescent="0.3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8"/>
    </row>
    <row r="597" spans="1:11" x14ac:dyDescent="0.3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8"/>
    </row>
    <row r="598" spans="1:11" x14ac:dyDescent="0.3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8"/>
    </row>
    <row r="599" spans="1:11" x14ac:dyDescent="0.3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8"/>
    </row>
    <row r="600" spans="1:11" x14ac:dyDescent="0.3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8"/>
    </row>
    <row r="601" spans="1:11" x14ac:dyDescent="0.3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8"/>
    </row>
    <row r="602" spans="1:11" x14ac:dyDescent="0.3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8"/>
    </row>
    <row r="603" spans="1:11" x14ac:dyDescent="0.3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8"/>
    </row>
    <row r="604" spans="1:11" x14ac:dyDescent="0.3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8"/>
    </row>
    <row r="605" spans="1:11" x14ac:dyDescent="0.3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8"/>
    </row>
    <row r="606" spans="1:11" x14ac:dyDescent="0.3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8"/>
    </row>
    <row r="607" spans="1:11" x14ac:dyDescent="0.3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8"/>
    </row>
    <row r="608" spans="1:11" x14ac:dyDescent="0.3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8"/>
    </row>
    <row r="609" spans="1:11" x14ac:dyDescent="0.3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8"/>
    </row>
    <row r="610" spans="1:11" x14ac:dyDescent="0.3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8"/>
    </row>
    <row r="611" spans="1:11" x14ac:dyDescent="0.3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8"/>
    </row>
    <row r="612" spans="1:11" x14ac:dyDescent="0.3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8"/>
    </row>
    <row r="613" spans="1:11" x14ac:dyDescent="0.3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8"/>
    </row>
    <row r="614" spans="1:11" x14ac:dyDescent="0.3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8"/>
    </row>
    <row r="615" spans="1:11" x14ac:dyDescent="0.3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8"/>
    </row>
    <row r="616" spans="1:11" x14ac:dyDescent="0.3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8"/>
    </row>
    <row r="617" spans="1:11" x14ac:dyDescent="0.3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8"/>
    </row>
    <row r="618" spans="1:11" x14ac:dyDescent="0.3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8"/>
    </row>
    <row r="619" spans="1:11" x14ac:dyDescent="0.3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8"/>
    </row>
    <row r="620" spans="1:11" x14ac:dyDescent="0.3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8"/>
    </row>
    <row r="621" spans="1:11" x14ac:dyDescent="0.3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8"/>
    </row>
    <row r="622" spans="1:11" x14ac:dyDescent="0.3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8"/>
    </row>
    <row r="623" spans="1:11" x14ac:dyDescent="0.3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8"/>
    </row>
    <row r="624" spans="1:11" x14ac:dyDescent="0.3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8"/>
    </row>
    <row r="625" spans="1:11" x14ac:dyDescent="0.3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8"/>
    </row>
    <row r="626" spans="1:11" x14ac:dyDescent="0.3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8"/>
    </row>
    <row r="627" spans="1:11" x14ac:dyDescent="0.3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8"/>
    </row>
    <row r="628" spans="1:11" x14ac:dyDescent="0.3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8"/>
    </row>
    <row r="629" spans="1:11" x14ac:dyDescent="0.3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8"/>
    </row>
    <row r="630" spans="1:11" x14ac:dyDescent="0.3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8"/>
    </row>
    <row r="631" spans="1:11" x14ac:dyDescent="0.3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8"/>
    </row>
    <row r="632" spans="1:11" x14ac:dyDescent="0.3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8"/>
    </row>
    <row r="633" spans="1:11" x14ac:dyDescent="0.3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8"/>
    </row>
    <row r="634" spans="1:11" x14ac:dyDescent="0.3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8"/>
    </row>
    <row r="635" spans="1:11" x14ac:dyDescent="0.3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8"/>
    </row>
    <row r="636" spans="1:11" x14ac:dyDescent="0.3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8"/>
    </row>
    <row r="637" spans="1:11" x14ac:dyDescent="0.3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8"/>
    </row>
    <row r="638" spans="1:11" x14ac:dyDescent="0.3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8"/>
    </row>
    <row r="639" spans="1:11" x14ac:dyDescent="0.3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8"/>
    </row>
    <row r="640" spans="1:11" x14ac:dyDescent="0.3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8"/>
    </row>
    <row r="641" spans="1:11" x14ac:dyDescent="0.3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8"/>
    </row>
    <row r="642" spans="1:11" x14ac:dyDescent="0.3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8"/>
    </row>
    <row r="643" spans="1:11" x14ac:dyDescent="0.3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8"/>
    </row>
    <row r="644" spans="1:11" x14ac:dyDescent="0.3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8"/>
    </row>
    <row r="645" spans="1:11" x14ac:dyDescent="0.3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8"/>
    </row>
    <row r="646" spans="1:11" x14ac:dyDescent="0.3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8"/>
    </row>
    <row r="647" spans="1:11" x14ac:dyDescent="0.3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8"/>
    </row>
    <row r="648" spans="1:11" x14ac:dyDescent="0.3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8"/>
    </row>
    <row r="649" spans="1:11" x14ac:dyDescent="0.3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8"/>
    </row>
    <row r="650" spans="1:11" x14ac:dyDescent="0.3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8"/>
    </row>
    <row r="651" spans="1:11" x14ac:dyDescent="0.3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8"/>
    </row>
    <row r="652" spans="1:11" x14ac:dyDescent="0.3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8"/>
    </row>
    <row r="653" spans="1:11" x14ac:dyDescent="0.3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8"/>
    </row>
    <row r="654" spans="1:11" x14ac:dyDescent="0.3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8"/>
    </row>
    <row r="655" spans="1:11" x14ac:dyDescent="0.3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8"/>
    </row>
    <row r="656" spans="1:11" x14ac:dyDescent="0.3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8"/>
    </row>
    <row r="657" spans="1:11" x14ac:dyDescent="0.3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8"/>
    </row>
    <row r="658" spans="1:11" x14ac:dyDescent="0.3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8"/>
    </row>
    <row r="659" spans="1:11" x14ac:dyDescent="0.3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8"/>
    </row>
    <row r="660" spans="1:11" x14ac:dyDescent="0.3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8"/>
    </row>
    <row r="661" spans="1:11" x14ac:dyDescent="0.3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8"/>
    </row>
    <row r="662" spans="1:11" x14ac:dyDescent="0.3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8"/>
    </row>
    <row r="663" spans="1:11" x14ac:dyDescent="0.3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8"/>
    </row>
    <row r="664" spans="1:11" x14ac:dyDescent="0.3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8"/>
    </row>
    <row r="665" spans="1:11" x14ac:dyDescent="0.3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8"/>
    </row>
    <row r="666" spans="1:11" x14ac:dyDescent="0.3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8"/>
    </row>
    <row r="667" spans="1:11" x14ac:dyDescent="0.3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8"/>
    </row>
    <row r="668" spans="1:11" x14ac:dyDescent="0.3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8"/>
    </row>
    <row r="669" spans="1:11" x14ac:dyDescent="0.3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8"/>
    </row>
    <row r="670" spans="1:11" x14ac:dyDescent="0.3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8"/>
    </row>
    <row r="671" spans="1:11" x14ac:dyDescent="0.3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8"/>
    </row>
    <row r="672" spans="1:11" x14ac:dyDescent="0.3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8"/>
    </row>
    <row r="673" spans="1:11" x14ac:dyDescent="0.3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8"/>
    </row>
    <row r="674" spans="1:11" x14ac:dyDescent="0.3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8"/>
    </row>
    <row r="675" spans="1:11" x14ac:dyDescent="0.3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8"/>
    </row>
    <row r="676" spans="1:11" x14ac:dyDescent="0.3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8"/>
    </row>
    <row r="677" spans="1:11" x14ac:dyDescent="0.3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8"/>
    </row>
    <row r="678" spans="1:11" x14ac:dyDescent="0.3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8"/>
    </row>
    <row r="679" spans="1:11" x14ac:dyDescent="0.3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8"/>
    </row>
    <row r="680" spans="1:11" x14ac:dyDescent="0.3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8"/>
    </row>
    <row r="681" spans="1:11" x14ac:dyDescent="0.3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8"/>
    </row>
    <row r="682" spans="1:11" x14ac:dyDescent="0.3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8"/>
    </row>
    <row r="683" spans="1:11" x14ac:dyDescent="0.3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8"/>
    </row>
    <row r="684" spans="1:11" x14ac:dyDescent="0.3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8"/>
    </row>
    <row r="685" spans="1:11" x14ac:dyDescent="0.3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8"/>
    </row>
    <row r="686" spans="1:11" x14ac:dyDescent="0.3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8"/>
    </row>
    <row r="687" spans="1:11" x14ac:dyDescent="0.3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8"/>
    </row>
    <row r="688" spans="1:11" x14ac:dyDescent="0.3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8"/>
    </row>
    <row r="689" spans="1:11" x14ac:dyDescent="0.3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8"/>
    </row>
    <row r="690" spans="1:11" x14ac:dyDescent="0.3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8"/>
    </row>
    <row r="691" spans="1:11" x14ac:dyDescent="0.3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8"/>
    </row>
    <row r="692" spans="1:11" x14ac:dyDescent="0.3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8"/>
    </row>
    <row r="693" spans="1:11" x14ac:dyDescent="0.3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8"/>
    </row>
    <row r="694" spans="1:11" x14ac:dyDescent="0.3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8"/>
    </row>
    <row r="695" spans="1:11" x14ac:dyDescent="0.3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8"/>
    </row>
    <row r="696" spans="1:11" x14ac:dyDescent="0.3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8"/>
    </row>
    <row r="697" spans="1:11" x14ac:dyDescent="0.3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8"/>
    </row>
    <row r="698" spans="1:11" x14ac:dyDescent="0.3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8"/>
    </row>
    <row r="699" spans="1:11" x14ac:dyDescent="0.3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8"/>
    </row>
    <row r="700" spans="1:11" x14ac:dyDescent="0.3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8"/>
    </row>
    <row r="701" spans="1:11" x14ac:dyDescent="0.3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8"/>
    </row>
    <row r="702" spans="1:11" x14ac:dyDescent="0.3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8"/>
    </row>
    <row r="703" spans="1:11" x14ac:dyDescent="0.3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8"/>
    </row>
    <row r="704" spans="1:11" x14ac:dyDescent="0.3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8"/>
    </row>
    <row r="705" spans="1:11" x14ac:dyDescent="0.3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8"/>
    </row>
    <row r="706" spans="1:11" x14ac:dyDescent="0.3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8"/>
    </row>
    <row r="707" spans="1:11" x14ac:dyDescent="0.3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8"/>
    </row>
    <row r="708" spans="1:11" x14ac:dyDescent="0.3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8"/>
    </row>
    <row r="709" spans="1:11" x14ac:dyDescent="0.3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8"/>
    </row>
    <row r="710" spans="1:11" x14ac:dyDescent="0.3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8"/>
    </row>
    <row r="711" spans="1:11" x14ac:dyDescent="0.3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8"/>
    </row>
    <row r="712" spans="1:11" x14ac:dyDescent="0.3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8"/>
    </row>
    <row r="713" spans="1:11" x14ac:dyDescent="0.3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8"/>
    </row>
    <row r="714" spans="1:11" x14ac:dyDescent="0.3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8"/>
    </row>
    <row r="715" spans="1:11" x14ac:dyDescent="0.3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8"/>
    </row>
    <row r="716" spans="1:11" x14ac:dyDescent="0.3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8"/>
    </row>
    <row r="717" spans="1:11" x14ac:dyDescent="0.3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8"/>
    </row>
    <row r="718" spans="1:11" x14ac:dyDescent="0.3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8"/>
    </row>
    <row r="719" spans="1:11" x14ac:dyDescent="0.3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8"/>
    </row>
    <row r="720" spans="1:11" x14ac:dyDescent="0.3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8"/>
    </row>
    <row r="721" spans="1:11" x14ac:dyDescent="0.3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8"/>
    </row>
    <row r="722" spans="1:11" x14ac:dyDescent="0.3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8"/>
    </row>
    <row r="723" spans="1:11" x14ac:dyDescent="0.3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8"/>
    </row>
    <row r="724" spans="1:11" x14ac:dyDescent="0.3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8"/>
    </row>
    <row r="725" spans="1:11" x14ac:dyDescent="0.3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8"/>
    </row>
    <row r="726" spans="1:11" x14ac:dyDescent="0.3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8"/>
    </row>
    <row r="727" spans="1:11" x14ac:dyDescent="0.3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8"/>
    </row>
    <row r="728" spans="1:11" x14ac:dyDescent="0.3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8"/>
    </row>
    <row r="729" spans="1:11" x14ac:dyDescent="0.3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8"/>
    </row>
    <row r="730" spans="1:11" x14ac:dyDescent="0.3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8"/>
    </row>
    <row r="731" spans="1:11" x14ac:dyDescent="0.3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8"/>
    </row>
    <row r="732" spans="1:11" x14ac:dyDescent="0.3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8"/>
    </row>
    <row r="733" spans="1:11" x14ac:dyDescent="0.3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8"/>
    </row>
    <row r="734" spans="1:11" x14ac:dyDescent="0.3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8"/>
    </row>
    <row r="735" spans="1:11" x14ac:dyDescent="0.3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8"/>
    </row>
    <row r="736" spans="1:11" x14ac:dyDescent="0.3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8"/>
    </row>
    <row r="737" spans="1:11" x14ac:dyDescent="0.3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8"/>
    </row>
    <row r="738" spans="1:11" x14ac:dyDescent="0.3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8"/>
    </row>
    <row r="739" spans="1:11" x14ac:dyDescent="0.3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8"/>
    </row>
    <row r="740" spans="1:11" x14ac:dyDescent="0.3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8"/>
    </row>
    <row r="741" spans="1:11" x14ac:dyDescent="0.3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8"/>
    </row>
    <row r="742" spans="1:11" x14ac:dyDescent="0.3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8"/>
    </row>
    <row r="743" spans="1:11" x14ac:dyDescent="0.3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8"/>
    </row>
    <row r="744" spans="1:11" x14ac:dyDescent="0.3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8"/>
    </row>
    <row r="745" spans="1:11" x14ac:dyDescent="0.3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8"/>
    </row>
    <row r="746" spans="1:11" x14ac:dyDescent="0.3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8"/>
    </row>
    <row r="747" spans="1:11" x14ac:dyDescent="0.3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8"/>
    </row>
    <row r="748" spans="1:11" x14ac:dyDescent="0.3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8"/>
    </row>
    <row r="749" spans="1:11" x14ac:dyDescent="0.3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8"/>
    </row>
    <row r="750" spans="1:11" x14ac:dyDescent="0.3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8"/>
    </row>
    <row r="751" spans="1:11" x14ac:dyDescent="0.3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8"/>
    </row>
    <row r="752" spans="1:11" x14ac:dyDescent="0.3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8"/>
    </row>
    <row r="753" spans="1:11" x14ac:dyDescent="0.3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8"/>
    </row>
    <row r="754" spans="1:11" x14ac:dyDescent="0.3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8"/>
    </row>
    <row r="755" spans="1:11" x14ac:dyDescent="0.3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8"/>
    </row>
    <row r="756" spans="1:11" x14ac:dyDescent="0.3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8"/>
    </row>
    <row r="757" spans="1:11" x14ac:dyDescent="0.3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8"/>
    </row>
    <row r="758" spans="1:11" x14ac:dyDescent="0.3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8"/>
    </row>
    <row r="759" spans="1:11" x14ac:dyDescent="0.3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8"/>
    </row>
    <row r="760" spans="1:11" x14ac:dyDescent="0.3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8"/>
    </row>
    <row r="761" spans="1:11" x14ac:dyDescent="0.3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8"/>
    </row>
    <row r="762" spans="1:11" x14ac:dyDescent="0.3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8"/>
    </row>
    <row r="763" spans="1:11" x14ac:dyDescent="0.3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8"/>
    </row>
    <row r="764" spans="1:11" x14ac:dyDescent="0.3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8"/>
    </row>
    <row r="765" spans="1:11" x14ac:dyDescent="0.3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8"/>
    </row>
    <row r="766" spans="1:11" x14ac:dyDescent="0.3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8"/>
    </row>
    <row r="767" spans="1:11" x14ac:dyDescent="0.3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8"/>
    </row>
    <row r="768" spans="1:11" x14ac:dyDescent="0.3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8"/>
    </row>
    <row r="769" spans="1:11" x14ac:dyDescent="0.3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8"/>
    </row>
    <row r="770" spans="1:11" x14ac:dyDescent="0.3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8"/>
    </row>
    <row r="771" spans="1:11" x14ac:dyDescent="0.3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8"/>
    </row>
    <row r="772" spans="1:11" x14ac:dyDescent="0.3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8"/>
    </row>
    <row r="773" spans="1:11" x14ac:dyDescent="0.3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8"/>
    </row>
    <row r="774" spans="1:11" x14ac:dyDescent="0.3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8"/>
    </row>
    <row r="775" spans="1:11" x14ac:dyDescent="0.3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8"/>
    </row>
    <row r="776" spans="1:11" x14ac:dyDescent="0.3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8"/>
    </row>
    <row r="777" spans="1:11" x14ac:dyDescent="0.3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8"/>
    </row>
    <row r="778" spans="1:11" x14ac:dyDescent="0.3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8"/>
    </row>
    <row r="779" spans="1:11" x14ac:dyDescent="0.3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8"/>
    </row>
    <row r="780" spans="1:11" x14ac:dyDescent="0.3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8"/>
    </row>
    <row r="781" spans="1:11" x14ac:dyDescent="0.3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8"/>
    </row>
    <row r="782" spans="1:11" x14ac:dyDescent="0.3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8"/>
    </row>
    <row r="783" spans="1:11" x14ac:dyDescent="0.3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8"/>
    </row>
    <row r="784" spans="1:11" x14ac:dyDescent="0.3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8"/>
    </row>
    <row r="785" spans="1:11" x14ac:dyDescent="0.3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8"/>
    </row>
    <row r="786" spans="1:11" x14ac:dyDescent="0.3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8"/>
    </row>
    <row r="787" spans="1:11" x14ac:dyDescent="0.3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8"/>
    </row>
    <row r="788" spans="1:11" x14ac:dyDescent="0.3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8"/>
    </row>
    <row r="789" spans="1:11" x14ac:dyDescent="0.3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8"/>
    </row>
    <row r="790" spans="1:11" x14ac:dyDescent="0.3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8"/>
    </row>
    <row r="791" spans="1:11" x14ac:dyDescent="0.3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8"/>
    </row>
    <row r="792" spans="1:11" x14ac:dyDescent="0.3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8"/>
    </row>
    <row r="793" spans="1:11" x14ac:dyDescent="0.3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8"/>
    </row>
    <row r="794" spans="1:11" x14ac:dyDescent="0.3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8"/>
    </row>
    <row r="795" spans="1:11" x14ac:dyDescent="0.3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8"/>
    </row>
    <row r="796" spans="1:11" x14ac:dyDescent="0.3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8"/>
    </row>
    <row r="797" spans="1:11" x14ac:dyDescent="0.3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8"/>
    </row>
    <row r="798" spans="1:11" x14ac:dyDescent="0.3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8"/>
    </row>
    <row r="799" spans="1:11" x14ac:dyDescent="0.3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8"/>
    </row>
    <row r="800" spans="1:11" x14ac:dyDescent="0.3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8"/>
    </row>
    <row r="801" spans="1:11" x14ac:dyDescent="0.3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8"/>
    </row>
    <row r="802" spans="1:11" x14ac:dyDescent="0.3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8"/>
    </row>
    <row r="803" spans="1:11" x14ac:dyDescent="0.3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8"/>
    </row>
    <row r="804" spans="1:11" x14ac:dyDescent="0.3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8"/>
    </row>
    <row r="805" spans="1:11" x14ac:dyDescent="0.3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8"/>
    </row>
    <row r="806" spans="1:11" x14ac:dyDescent="0.3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8"/>
    </row>
    <row r="807" spans="1:11" x14ac:dyDescent="0.3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8"/>
    </row>
    <row r="808" spans="1:11" x14ac:dyDescent="0.3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8"/>
    </row>
    <row r="809" spans="1:11" x14ac:dyDescent="0.3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8"/>
    </row>
    <row r="810" spans="1:11" x14ac:dyDescent="0.3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8"/>
    </row>
    <row r="811" spans="1:11" x14ac:dyDescent="0.3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8"/>
    </row>
    <row r="812" spans="1:11" x14ac:dyDescent="0.3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8"/>
    </row>
    <row r="813" spans="1:11" x14ac:dyDescent="0.3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8"/>
    </row>
    <row r="814" spans="1:11" x14ac:dyDescent="0.3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8"/>
    </row>
    <row r="815" spans="1:11" x14ac:dyDescent="0.3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8"/>
    </row>
    <row r="816" spans="1:11" x14ac:dyDescent="0.3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8"/>
    </row>
    <row r="817" spans="1:11" x14ac:dyDescent="0.3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8"/>
    </row>
    <row r="818" spans="1:11" x14ac:dyDescent="0.3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8"/>
    </row>
    <row r="819" spans="1:11" x14ac:dyDescent="0.3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8"/>
    </row>
    <row r="820" spans="1:11" x14ac:dyDescent="0.3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8"/>
    </row>
    <row r="821" spans="1:11" x14ac:dyDescent="0.3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8"/>
    </row>
    <row r="822" spans="1:11" x14ac:dyDescent="0.3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8"/>
    </row>
    <row r="823" spans="1:11" x14ac:dyDescent="0.3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8"/>
    </row>
    <row r="824" spans="1:11" x14ac:dyDescent="0.3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8"/>
    </row>
    <row r="825" spans="1:11" x14ac:dyDescent="0.3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8"/>
    </row>
    <row r="826" spans="1:11" x14ac:dyDescent="0.3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8"/>
    </row>
    <row r="827" spans="1:11" x14ac:dyDescent="0.3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8"/>
    </row>
    <row r="828" spans="1:11" x14ac:dyDescent="0.3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8"/>
    </row>
    <row r="829" spans="1:11" x14ac:dyDescent="0.3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8"/>
    </row>
    <row r="830" spans="1:11" x14ac:dyDescent="0.3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8"/>
    </row>
    <row r="831" spans="1:11" x14ac:dyDescent="0.3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8"/>
    </row>
    <row r="832" spans="1:11" x14ac:dyDescent="0.3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8"/>
    </row>
    <row r="833" spans="1:11" x14ac:dyDescent="0.3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8"/>
    </row>
    <row r="834" spans="1:11" x14ac:dyDescent="0.3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8"/>
    </row>
    <row r="835" spans="1:11" x14ac:dyDescent="0.3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8"/>
    </row>
    <row r="836" spans="1:11" x14ac:dyDescent="0.3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8"/>
    </row>
    <row r="837" spans="1:11" x14ac:dyDescent="0.3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8"/>
    </row>
    <row r="838" spans="1:11" x14ac:dyDescent="0.3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8"/>
    </row>
    <row r="839" spans="1:11" x14ac:dyDescent="0.3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8"/>
    </row>
    <row r="840" spans="1:11" x14ac:dyDescent="0.3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8"/>
    </row>
    <row r="841" spans="1:11" x14ac:dyDescent="0.3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8"/>
    </row>
    <row r="842" spans="1:11" x14ac:dyDescent="0.3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8"/>
    </row>
    <row r="843" spans="1:11" x14ac:dyDescent="0.3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8"/>
    </row>
    <row r="844" spans="1:11" x14ac:dyDescent="0.3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8"/>
    </row>
    <row r="845" spans="1:11" x14ac:dyDescent="0.3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8"/>
    </row>
    <row r="846" spans="1:11" x14ac:dyDescent="0.3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8"/>
    </row>
    <row r="847" spans="1:11" x14ac:dyDescent="0.3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8"/>
    </row>
    <row r="848" spans="1:11" x14ac:dyDescent="0.3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8"/>
    </row>
    <row r="849" spans="1:11" x14ac:dyDescent="0.3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8"/>
    </row>
    <row r="850" spans="1:11" x14ac:dyDescent="0.3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8"/>
    </row>
    <row r="851" spans="1:11" x14ac:dyDescent="0.3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8"/>
    </row>
    <row r="852" spans="1:11" x14ac:dyDescent="0.3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8"/>
    </row>
    <row r="853" spans="1:11" x14ac:dyDescent="0.3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8"/>
    </row>
    <row r="854" spans="1:11" x14ac:dyDescent="0.3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8"/>
    </row>
    <row r="855" spans="1:11" x14ac:dyDescent="0.3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8"/>
    </row>
    <row r="856" spans="1:11" x14ac:dyDescent="0.3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8"/>
    </row>
    <row r="857" spans="1:11" x14ac:dyDescent="0.3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8"/>
    </row>
    <row r="858" spans="1:11" x14ac:dyDescent="0.3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8"/>
    </row>
    <row r="859" spans="1:11" x14ac:dyDescent="0.3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8"/>
    </row>
    <row r="860" spans="1:11" x14ac:dyDescent="0.3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8"/>
    </row>
    <row r="861" spans="1:11" x14ac:dyDescent="0.3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8"/>
    </row>
    <row r="862" spans="1:11" x14ac:dyDescent="0.3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8"/>
    </row>
    <row r="863" spans="1:11" x14ac:dyDescent="0.3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8"/>
    </row>
    <row r="864" spans="1:11" x14ac:dyDescent="0.3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8"/>
    </row>
    <row r="865" spans="1:11" x14ac:dyDescent="0.3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8"/>
    </row>
    <row r="866" spans="1:11" x14ac:dyDescent="0.3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8"/>
    </row>
    <row r="867" spans="1:11" x14ac:dyDescent="0.3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8"/>
    </row>
    <row r="868" spans="1:11" x14ac:dyDescent="0.3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8"/>
    </row>
    <row r="869" spans="1:11" x14ac:dyDescent="0.3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8"/>
    </row>
    <row r="870" spans="1:11" x14ac:dyDescent="0.3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8"/>
    </row>
    <row r="871" spans="1:11" x14ac:dyDescent="0.3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8"/>
    </row>
    <row r="872" spans="1:11" x14ac:dyDescent="0.3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8"/>
    </row>
    <row r="873" spans="1:11" x14ac:dyDescent="0.3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8"/>
    </row>
    <row r="874" spans="1:11" x14ac:dyDescent="0.3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8"/>
    </row>
    <row r="875" spans="1:11" x14ac:dyDescent="0.3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8"/>
    </row>
    <row r="876" spans="1:11" x14ac:dyDescent="0.3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8"/>
    </row>
    <row r="877" spans="1:11" x14ac:dyDescent="0.3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8"/>
    </row>
    <row r="878" spans="1:11" x14ac:dyDescent="0.3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8"/>
    </row>
    <row r="879" spans="1:11" x14ac:dyDescent="0.3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8"/>
    </row>
    <row r="880" spans="1:11" x14ac:dyDescent="0.3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8"/>
    </row>
    <row r="881" spans="1:11" x14ac:dyDescent="0.3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8"/>
    </row>
    <row r="882" spans="1:11" x14ac:dyDescent="0.3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8"/>
    </row>
    <row r="883" spans="1:11" x14ac:dyDescent="0.3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8"/>
    </row>
    <row r="884" spans="1:11" x14ac:dyDescent="0.3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8"/>
    </row>
    <row r="885" spans="1:11" x14ac:dyDescent="0.3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8"/>
    </row>
    <row r="886" spans="1:11" x14ac:dyDescent="0.3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8"/>
    </row>
    <row r="887" spans="1:11" x14ac:dyDescent="0.3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8"/>
    </row>
    <row r="888" spans="1:11" x14ac:dyDescent="0.3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8"/>
    </row>
    <row r="889" spans="1:11" x14ac:dyDescent="0.3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8"/>
    </row>
    <row r="890" spans="1:11" x14ac:dyDescent="0.3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8"/>
    </row>
    <row r="891" spans="1:11" x14ac:dyDescent="0.3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8"/>
    </row>
    <row r="892" spans="1:11" x14ac:dyDescent="0.3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8"/>
    </row>
    <row r="893" spans="1:11" x14ac:dyDescent="0.3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8"/>
    </row>
    <row r="894" spans="1:11" x14ac:dyDescent="0.3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8"/>
    </row>
    <row r="895" spans="1:11" x14ac:dyDescent="0.3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8"/>
    </row>
    <row r="896" spans="1:11" x14ac:dyDescent="0.3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8"/>
    </row>
    <row r="897" spans="1:11" x14ac:dyDescent="0.3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8"/>
    </row>
    <row r="898" spans="1:11" x14ac:dyDescent="0.3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8"/>
    </row>
    <row r="899" spans="1:11" x14ac:dyDescent="0.3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8"/>
    </row>
    <row r="900" spans="1:11" x14ac:dyDescent="0.3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8"/>
    </row>
    <row r="901" spans="1:11" x14ac:dyDescent="0.3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8"/>
    </row>
    <row r="902" spans="1:11" x14ac:dyDescent="0.3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8"/>
    </row>
    <row r="903" spans="1:11" x14ac:dyDescent="0.3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8"/>
    </row>
    <row r="904" spans="1:11" x14ac:dyDescent="0.3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8"/>
    </row>
    <row r="905" spans="1:11" x14ac:dyDescent="0.3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8"/>
    </row>
    <row r="906" spans="1:11" x14ac:dyDescent="0.3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8"/>
    </row>
    <row r="907" spans="1:11" x14ac:dyDescent="0.3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8"/>
    </row>
    <row r="908" spans="1:11" x14ac:dyDescent="0.3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8"/>
    </row>
    <row r="909" spans="1:11" x14ac:dyDescent="0.3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8"/>
    </row>
    <row r="910" spans="1:11" x14ac:dyDescent="0.3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8"/>
    </row>
    <row r="911" spans="1:11" x14ac:dyDescent="0.3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8"/>
    </row>
    <row r="912" spans="1:11" x14ac:dyDescent="0.3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8"/>
    </row>
    <row r="913" spans="1:11" x14ac:dyDescent="0.3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8"/>
    </row>
    <row r="914" spans="1:11" x14ac:dyDescent="0.3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8"/>
    </row>
    <row r="915" spans="1:11" x14ac:dyDescent="0.3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8"/>
    </row>
    <row r="916" spans="1:11" x14ac:dyDescent="0.3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8"/>
    </row>
    <row r="917" spans="1:11" x14ac:dyDescent="0.3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8"/>
    </row>
    <row r="918" spans="1:11" x14ac:dyDescent="0.3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8"/>
    </row>
    <row r="919" spans="1:11" x14ac:dyDescent="0.3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8"/>
    </row>
    <row r="920" spans="1:11" x14ac:dyDescent="0.3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8"/>
    </row>
    <row r="921" spans="1:11" x14ac:dyDescent="0.3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8"/>
    </row>
    <row r="922" spans="1:11" x14ac:dyDescent="0.3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8"/>
    </row>
    <row r="923" spans="1:11" x14ac:dyDescent="0.3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8"/>
    </row>
    <row r="924" spans="1:11" x14ac:dyDescent="0.3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8"/>
    </row>
    <row r="925" spans="1:11" x14ac:dyDescent="0.3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8"/>
    </row>
    <row r="926" spans="1:11" x14ac:dyDescent="0.3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8"/>
    </row>
    <row r="927" spans="1:11" x14ac:dyDescent="0.3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8"/>
    </row>
    <row r="928" spans="1:11" x14ac:dyDescent="0.3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8"/>
    </row>
    <row r="929" spans="1:11" x14ac:dyDescent="0.3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8"/>
    </row>
    <row r="930" spans="1:11" x14ac:dyDescent="0.3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8"/>
    </row>
    <row r="931" spans="1:11" x14ac:dyDescent="0.3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8"/>
    </row>
    <row r="932" spans="1:11" x14ac:dyDescent="0.3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8"/>
    </row>
    <row r="933" spans="1:11" x14ac:dyDescent="0.3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8"/>
    </row>
    <row r="934" spans="1:11" x14ac:dyDescent="0.3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8"/>
    </row>
    <row r="935" spans="1:11" x14ac:dyDescent="0.3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8"/>
    </row>
    <row r="936" spans="1:11" x14ac:dyDescent="0.3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8"/>
    </row>
    <row r="937" spans="1:11" x14ac:dyDescent="0.3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8"/>
    </row>
    <row r="938" spans="1:11" x14ac:dyDescent="0.3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8"/>
    </row>
    <row r="939" spans="1:11" x14ac:dyDescent="0.3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8"/>
    </row>
    <row r="940" spans="1:11" x14ac:dyDescent="0.3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8"/>
    </row>
    <row r="941" spans="1:11" x14ac:dyDescent="0.3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8"/>
    </row>
    <row r="942" spans="1:11" x14ac:dyDescent="0.3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8"/>
    </row>
    <row r="943" spans="1:11" x14ac:dyDescent="0.3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8"/>
    </row>
    <row r="944" spans="1:11" x14ac:dyDescent="0.3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8"/>
    </row>
    <row r="945" spans="1:11" x14ac:dyDescent="0.3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8"/>
    </row>
    <row r="946" spans="1:11" x14ac:dyDescent="0.3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8"/>
    </row>
    <row r="947" spans="1:11" x14ac:dyDescent="0.3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8"/>
    </row>
    <row r="948" spans="1:11" x14ac:dyDescent="0.3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8"/>
    </row>
    <row r="949" spans="1:11" x14ac:dyDescent="0.3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8"/>
    </row>
    <row r="950" spans="1:11" x14ac:dyDescent="0.3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8"/>
    </row>
    <row r="951" spans="1:11" x14ac:dyDescent="0.3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8"/>
    </row>
    <row r="952" spans="1:11" x14ac:dyDescent="0.3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8"/>
    </row>
    <row r="953" spans="1:11" x14ac:dyDescent="0.3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8"/>
    </row>
    <row r="954" spans="1:11" x14ac:dyDescent="0.3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8"/>
    </row>
    <row r="955" spans="1:11" x14ac:dyDescent="0.3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8"/>
    </row>
    <row r="956" spans="1:11" x14ac:dyDescent="0.3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8"/>
    </row>
    <row r="957" spans="1:11" x14ac:dyDescent="0.3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8"/>
    </row>
    <row r="958" spans="1:11" x14ac:dyDescent="0.3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8"/>
    </row>
    <row r="959" spans="1:11" x14ac:dyDescent="0.3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8"/>
    </row>
    <row r="960" spans="1:11" x14ac:dyDescent="0.3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8"/>
    </row>
    <row r="961" spans="1:11" x14ac:dyDescent="0.3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8"/>
    </row>
    <row r="962" spans="1:11" x14ac:dyDescent="0.3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8"/>
    </row>
    <row r="963" spans="1:11" x14ac:dyDescent="0.3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8"/>
    </row>
    <row r="964" spans="1:11" x14ac:dyDescent="0.3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8"/>
    </row>
    <row r="965" spans="1:11" x14ac:dyDescent="0.3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8"/>
    </row>
    <row r="966" spans="1:11" x14ac:dyDescent="0.3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8"/>
    </row>
    <row r="967" spans="1:11" x14ac:dyDescent="0.3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8"/>
    </row>
    <row r="968" spans="1:11" x14ac:dyDescent="0.3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8"/>
    </row>
    <row r="969" spans="1:11" x14ac:dyDescent="0.3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8"/>
    </row>
    <row r="970" spans="1:11" x14ac:dyDescent="0.3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8"/>
    </row>
    <row r="971" spans="1:11" x14ac:dyDescent="0.3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8"/>
    </row>
    <row r="972" spans="1:11" x14ac:dyDescent="0.3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8"/>
    </row>
    <row r="973" spans="1:11" x14ac:dyDescent="0.3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8"/>
    </row>
    <row r="974" spans="1:11" x14ac:dyDescent="0.3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8"/>
    </row>
    <row r="975" spans="1:11" x14ac:dyDescent="0.3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8"/>
    </row>
    <row r="976" spans="1:11" x14ac:dyDescent="0.3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8"/>
    </row>
    <row r="977" spans="1:11" x14ac:dyDescent="0.3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8"/>
    </row>
    <row r="978" spans="1:11" x14ac:dyDescent="0.3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8"/>
    </row>
    <row r="979" spans="1:11" x14ac:dyDescent="0.3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8"/>
    </row>
    <row r="980" spans="1:11" x14ac:dyDescent="0.3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8"/>
    </row>
    <row r="981" spans="1:11" x14ac:dyDescent="0.3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8"/>
    </row>
    <row r="982" spans="1:11" x14ac:dyDescent="0.3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8"/>
    </row>
    <row r="983" spans="1:11" x14ac:dyDescent="0.3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8"/>
    </row>
    <row r="984" spans="1:11" x14ac:dyDescent="0.3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8"/>
    </row>
    <row r="985" spans="1:11" x14ac:dyDescent="0.3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8"/>
    </row>
    <row r="986" spans="1:11" x14ac:dyDescent="0.3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8"/>
    </row>
    <row r="987" spans="1:11" x14ac:dyDescent="0.3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8"/>
    </row>
    <row r="988" spans="1:11" x14ac:dyDescent="0.3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8"/>
    </row>
    <row r="989" spans="1:11" x14ac:dyDescent="0.3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8"/>
    </row>
    <row r="990" spans="1:11" x14ac:dyDescent="0.3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8"/>
    </row>
    <row r="991" spans="1:11" x14ac:dyDescent="0.3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8"/>
    </row>
    <row r="992" spans="1:11" x14ac:dyDescent="0.3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8"/>
    </row>
    <row r="993" spans="1:11" x14ac:dyDescent="0.3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8"/>
    </row>
    <row r="994" spans="1:11" x14ac:dyDescent="0.3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8"/>
    </row>
    <row r="995" spans="1:11" x14ac:dyDescent="0.3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8"/>
    </row>
    <row r="996" spans="1:11" x14ac:dyDescent="0.3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8"/>
    </row>
    <row r="997" spans="1:11" x14ac:dyDescent="0.3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8"/>
    </row>
    <row r="998" spans="1:11" x14ac:dyDescent="0.3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8"/>
    </row>
    <row r="999" spans="1:11" x14ac:dyDescent="0.3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8"/>
    </row>
    <row r="1000" spans="1:11" x14ac:dyDescent="0.3">
      <c r="A1000" s="67"/>
      <c r="B1000" s="67"/>
      <c r="C1000" s="67"/>
      <c r="D1000" s="67"/>
      <c r="E1000" s="67"/>
      <c r="F1000" s="67"/>
      <c r="G1000" s="67"/>
      <c r="H1000" s="67"/>
      <c r="I1000" s="67"/>
      <c r="J1000" s="67"/>
      <c r="K1000" s="68"/>
    </row>
  </sheetData>
  <sortState ref="A2:L109">
    <sortCondition ref="I1"/>
  </sortState>
  <mergeCells count="1">
    <mergeCell ref="O1:Q1"/>
  </mergeCells>
  <phoneticPr fontId="1" type="noConversion"/>
  <conditionalFormatting sqref="J2:J71">
    <cfRule type="cellIs" dxfId="9" priority="6" operator="greaterThan">
      <formula>0</formula>
    </cfRule>
  </conditionalFormatting>
  <conditionalFormatting sqref="L2:M12 M13:M71 L13:L109">
    <cfRule type="cellIs" dxfId="8" priority="4" operator="greaterThan">
      <formula>0</formula>
    </cfRule>
  </conditionalFormatting>
  <conditionalFormatting sqref="I2:I71 I110:I1000">
    <cfRule type="cellIs" dxfId="7" priority="3" operator="greaterThan">
      <formula>0</formula>
    </cfRule>
  </conditionalFormatting>
  <conditionalFormatting sqref="J72:J109">
    <cfRule type="cellIs" dxfId="6" priority="2" operator="greaterThan">
      <formula>0</formula>
    </cfRule>
  </conditionalFormatting>
  <conditionalFormatting sqref="I72:I109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ByProdId">
                <anchor moveWithCells="1" sizeWithCells="1">
                  <from>
                    <xdr:col>13</xdr:col>
                    <xdr:colOff>9525</xdr:colOff>
                    <xdr:row>1</xdr:row>
                    <xdr:rowOff>104775</xdr:rowOff>
                  </from>
                  <to>
                    <xdr:col>14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rByOrderedProd">
                <anchor moveWithCells="1" sizeWithCells="1">
                  <from>
                    <xdr:col>14</xdr:col>
                    <xdr:colOff>600075</xdr:colOff>
                    <xdr:row>1</xdr:row>
                    <xdr:rowOff>104775</xdr:rowOff>
                  </from>
                  <to>
                    <xdr:col>16</xdr:col>
                    <xdr:colOff>381000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3</xdr:row>
                    <xdr:rowOff>133350</xdr:rowOff>
                  </from>
                  <to>
                    <xdr:col>14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evOrderedProd">
                <anchor moveWithCells="1" sizeWithCells="1">
                  <from>
                    <xdr:col>14</xdr:col>
                    <xdr:colOff>133350</xdr:colOff>
                    <xdr:row>18</xdr:row>
                    <xdr:rowOff>133350</xdr:rowOff>
                  </from>
                  <to>
                    <xdr:col>16</xdr:col>
                    <xdr:colOff>381000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5</xdr:row>
                    <xdr:rowOff>161925</xdr:rowOff>
                  </from>
                  <to>
                    <xdr:col>14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setOrder">
                <anchor moveWithCells="1" sizeWithCells="1">
                  <from>
                    <xdr:col>17</xdr:col>
                    <xdr:colOff>523875</xdr:colOff>
                    <xdr:row>18</xdr:row>
                    <xdr:rowOff>152400</xdr:rowOff>
                  </from>
                  <to>
                    <xdr:col>19</xdr:col>
                    <xdr:colOff>228600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7</xdr:row>
                    <xdr:rowOff>200025</xdr:rowOff>
                  </from>
                  <to>
                    <xdr:col>14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10</xdr:row>
                    <xdr:rowOff>19050</xdr:rowOff>
                  </from>
                  <to>
                    <xdr:col>14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12</xdr:row>
                    <xdr:rowOff>47625</xdr:rowOff>
                  </from>
                  <to>
                    <xdr:col>14</xdr:col>
                    <xdr:colOff>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14</xdr:row>
                    <xdr:rowOff>76200</xdr:rowOff>
                  </from>
                  <to>
                    <xdr:col>14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10</xdr:row>
                    <xdr:rowOff>19050</xdr:rowOff>
                  </from>
                  <to>
                    <xdr:col>16</xdr:col>
                    <xdr:colOff>381000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7</xdr:row>
                    <xdr:rowOff>200025</xdr:rowOff>
                  </from>
                  <to>
                    <xdr:col>16</xdr:col>
                    <xdr:colOff>381000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16</xdr:row>
                    <xdr:rowOff>104775</xdr:rowOff>
                  </from>
                  <to>
                    <xdr:col>14</xdr:col>
                    <xdr:colOff>533400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5</xdr:row>
                    <xdr:rowOff>161925</xdr:rowOff>
                  </from>
                  <to>
                    <xdr:col>16</xdr:col>
                    <xdr:colOff>381000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Button 21">
              <controlPr defaultSize="0" print="0" autoFill="0" autoPict="0" macro="[0]!SelectProdType">
                <anchor moveWithCells="1" sizeWithCells="1">
                  <from>
                    <xdr:col>14</xdr:col>
                    <xdr:colOff>666750</xdr:colOff>
                    <xdr:row>16</xdr:row>
                    <xdr:rowOff>104775</xdr:rowOff>
                  </from>
                  <to>
                    <xdr:col>16</xdr:col>
                    <xdr:colOff>381000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Button 22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12</xdr:row>
                    <xdr:rowOff>47625</xdr:rowOff>
                  </from>
                  <to>
                    <xdr:col>16</xdr:col>
                    <xdr:colOff>381000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Button 23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14</xdr:row>
                    <xdr:rowOff>76200</xdr:rowOff>
                  </from>
                  <to>
                    <xdr:col>16</xdr:col>
                    <xdr:colOff>381000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Button 24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3</xdr:row>
                    <xdr:rowOff>133350</xdr:rowOff>
                  </from>
                  <to>
                    <xdr:col>16</xdr:col>
                    <xdr:colOff>381000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Button 27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18</xdr:row>
                    <xdr:rowOff>133350</xdr:rowOff>
                  </from>
                  <to>
                    <xdr:col>14</xdr:col>
                    <xdr:colOff>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4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10" width="9" style="14"/>
    <col min="11" max="11" width="14.25" style="25" bestFit="1" customWidth="1"/>
    <col min="12" max="12" width="14.25" style="36" bestFit="1" customWidth="1"/>
    <col min="13" max="13" width="1.625" style="49" customWidth="1"/>
    <col min="14" max="14" width="10.25" style="1" bestFit="1" customWidth="1"/>
    <col min="15" max="15" width="14" style="1" bestFit="1" customWidth="1"/>
    <col min="16" max="16384" width="9" style="1"/>
  </cols>
  <sheetData>
    <row r="1" spans="1:20" ht="16.5" customHeight="1" x14ac:dyDescent="0.3">
      <c r="A1" s="13" t="s">
        <v>2</v>
      </c>
      <c r="B1" s="13" t="s">
        <v>8</v>
      </c>
      <c r="C1" s="13" t="s">
        <v>9</v>
      </c>
      <c r="D1" s="13" t="s">
        <v>10</v>
      </c>
      <c r="E1" s="13" t="s">
        <v>11</v>
      </c>
      <c r="F1" s="13" t="s">
        <v>12</v>
      </c>
      <c r="G1" s="13" t="s">
        <v>13</v>
      </c>
      <c r="H1" s="13" t="s">
        <v>16</v>
      </c>
      <c r="I1" s="13" t="s">
        <v>17</v>
      </c>
      <c r="J1" s="13" t="s">
        <v>18</v>
      </c>
      <c r="K1" s="15" t="s">
        <v>15</v>
      </c>
      <c r="L1" s="46" t="s">
        <v>38</v>
      </c>
      <c r="M1" s="48"/>
      <c r="N1" s="47" t="s">
        <v>36</v>
      </c>
      <c r="O1" s="82">
        <f>SUM(L:L)</f>
        <v>0</v>
      </c>
      <c r="P1" s="83"/>
      <c r="Q1" s="83"/>
    </row>
    <row r="2" spans="1:20" ht="16.5" customHeight="1" x14ac:dyDescent="0.3">
      <c r="E2" s="18"/>
      <c r="G2" s="24"/>
      <c r="N2" s="73" t="s">
        <v>74</v>
      </c>
      <c r="O2" s="74" t="e">
        <f>查询订单!B2</f>
        <v>#N/A</v>
      </c>
      <c r="P2" s="34"/>
      <c r="Q2" s="34"/>
    </row>
    <row r="3" spans="1:20" x14ac:dyDescent="0.3">
      <c r="G3" s="24"/>
      <c r="N3" s="34"/>
      <c r="O3" s="34"/>
      <c r="P3" s="34"/>
      <c r="Q3" s="34"/>
    </row>
    <row r="4" spans="1:20" x14ac:dyDescent="0.3">
      <c r="G4" s="24"/>
      <c r="M4" s="44"/>
      <c r="N4" s="86" t="s">
        <v>37</v>
      </c>
      <c r="O4" s="87"/>
      <c r="P4" s="87"/>
      <c r="Q4" s="88"/>
    </row>
    <row r="5" spans="1:20" x14ac:dyDescent="0.3">
      <c r="M5" s="44"/>
      <c r="N5" s="37" t="s">
        <v>30</v>
      </c>
      <c r="O5" s="91">
        <f>O1</f>
        <v>0</v>
      </c>
      <c r="P5" s="92"/>
      <c r="Q5" s="93"/>
    </row>
    <row r="6" spans="1:20" x14ac:dyDescent="0.3">
      <c r="M6" s="44"/>
      <c r="N6" s="37" t="s">
        <v>32</v>
      </c>
      <c r="O6" s="35" t="b">
        <v>1</v>
      </c>
      <c r="P6" s="31"/>
      <c r="Q6" s="38"/>
    </row>
    <row r="7" spans="1:20" x14ac:dyDescent="0.3">
      <c r="M7" s="44"/>
      <c r="N7" s="37" t="s">
        <v>33</v>
      </c>
      <c r="O7" s="35" t="b">
        <v>1</v>
      </c>
      <c r="P7" s="32"/>
      <c r="Q7" s="39"/>
      <c r="R7" s="28"/>
    </row>
    <row r="8" spans="1:20" x14ac:dyDescent="0.3">
      <c r="M8" s="44"/>
      <c r="N8" s="37" t="s">
        <v>34</v>
      </c>
      <c r="O8" s="35" t="b">
        <v>1</v>
      </c>
      <c r="P8" s="31"/>
      <c r="Q8" s="38"/>
    </row>
    <row r="9" spans="1:20" x14ac:dyDescent="0.3">
      <c r="M9" s="44"/>
      <c r="N9" s="40" t="s">
        <v>31</v>
      </c>
      <c r="O9" s="41" t="str">
        <f>cncurrency(O5,O6,O7,O8)</f>
        <v>人民币零圆</v>
      </c>
      <c r="P9" s="42"/>
      <c r="Q9" s="43"/>
      <c r="R9" s="29"/>
      <c r="S9" s="29"/>
      <c r="T9" s="29"/>
    </row>
    <row r="11" spans="1:20" x14ac:dyDescent="0.3">
      <c r="R11" s="30"/>
      <c r="S11" s="30"/>
    </row>
    <row r="12" spans="1:20" x14ac:dyDescent="0.3">
      <c r="M12" s="44"/>
      <c r="N12" s="86" t="s">
        <v>35</v>
      </c>
      <c r="O12" s="87"/>
      <c r="P12" s="87"/>
      <c r="Q12" s="88"/>
    </row>
    <row r="13" spans="1:20" x14ac:dyDescent="0.3">
      <c r="M13" s="44"/>
      <c r="N13" s="37" t="s">
        <v>30</v>
      </c>
      <c r="O13" s="89">
        <v>100</v>
      </c>
      <c r="P13" s="89"/>
      <c r="Q13" s="90"/>
    </row>
    <row r="14" spans="1:20" x14ac:dyDescent="0.3">
      <c r="M14" s="44"/>
      <c r="N14" s="37" t="s">
        <v>32</v>
      </c>
      <c r="O14" s="35" t="b">
        <v>1</v>
      </c>
      <c r="P14" s="31"/>
      <c r="Q14" s="38"/>
    </row>
    <row r="15" spans="1:20" x14ac:dyDescent="0.3">
      <c r="M15" s="44"/>
      <c r="N15" s="37" t="s">
        <v>33</v>
      </c>
      <c r="O15" s="35" t="b">
        <v>1</v>
      </c>
      <c r="P15" s="32"/>
      <c r="Q15" s="39"/>
    </row>
    <row r="16" spans="1:20" x14ac:dyDescent="0.3">
      <c r="M16" s="44"/>
      <c r="N16" s="37" t="s">
        <v>34</v>
      </c>
      <c r="O16" s="35" t="b">
        <v>1</v>
      </c>
      <c r="P16" s="31"/>
      <c r="Q16" s="38"/>
    </row>
    <row r="17" spans="13:17" x14ac:dyDescent="0.3">
      <c r="M17" s="44"/>
      <c r="N17" s="40" t="s">
        <v>31</v>
      </c>
      <c r="O17" s="41" t="str">
        <f>cncurrency(O13,O14,O15,O16)</f>
        <v>人民币壹佰圆整</v>
      </c>
      <c r="P17" s="42"/>
      <c r="Q17" s="43"/>
    </row>
    <row r="23" spans="13:17" x14ac:dyDescent="0.3">
      <c r="N23" s="84" t="s">
        <v>87</v>
      </c>
      <c r="O23" s="85"/>
      <c r="P23" s="85"/>
      <c r="Q23" s="85"/>
    </row>
    <row r="24" spans="13:17" x14ac:dyDescent="0.3">
      <c r="N24" s="84"/>
      <c r="O24" s="85"/>
      <c r="P24" s="85"/>
      <c r="Q24" s="85"/>
    </row>
  </sheetData>
  <mergeCells count="6">
    <mergeCell ref="N23:Q24"/>
    <mergeCell ref="O1:Q1"/>
    <mergeCell ref="N4:Q4"/>
    <mergeCell ref="N12:Q12"/>
    <mergeCell ref="O13:Q13"/>
    <mergeCell ref="O5:Q5"/>
  </mergeCells>
  <phoneticPr fontId="1" type="noConversion"/>
  <dataValidations disablePrompts="1" count="1">
    <dataValidation type="list" showInputMessage="1" showErrorMessage="1" sqref="O6:O8 O14:O16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OrderInDb">
                <anchor moveWithCells="1" sizeWithCells="1">
                  <from>
                    <xdr:col>14</xdr:col>
                    <xdr:colOff>895350</xdr:colOff>
                    <xdr:row>24</xdr:row>
                    <xdr:rowOff>9525</xdr:rowOff>
                  </from>
                  <to>
                    <xdr:col>16</xdr:col>
                    <xdr:colOff>609600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PrevOrderedProdExcel">
                <anchor moveWithCells="1" sizeWithCells="1">
                  <from>
                    <xdr:col>14</xdr:col>
                    <xdr:colOff>895350</xdr:colOff>
                    <xdr:row>18</xdr:row>
                    <xdr:rowOff>152400</xdr:rowOff>
                  </from>
                  <to>
                    <xdr:col>16</xdr:col>
                    <xdr:colOff>609600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000"/>
  <sheetViews>
    <sheetView showGridLines="0"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1"/>
    <col min="2" max="2" width="9.625" style="1" bestFit="1" customWidth="1"/>
    <col min="3" max="3" width="9" style="1"/>
    <col min="4" max="5" width="9.25" style="18" bestFit="1" customWidth="1"/>
    <col min="6" max="6" width="13" style="18" bestFit="1" customWidth="1"/>
    <col min="7" max="7" width="15.375" style="19" bestFit="1" customWidth="1"/>
    <col min="8" max="8" width="9.25" style="18" bestFit="1" customWidth="1"/>
    <col min="9" max="9" width="14.5" style="20" bestFit="1" customWidth="1"/>
    <col min="10" max="10" width="21.875" style="20" bestFit="1" customWidth="1"/>
    <col min="11" max="11" width="21.625" style="52" bestFit="1" customWidth="1"/>
    <col min="12" max="12" width="9.25" style="18" bestFit="1" customWidth="1"/>
    <col min="13" max="13" width="29.625" style="20" bestFit="1" customWidth="1"/>
    <col min="14" max="14" width="14.5" style="20" bestFit="1" customWidth="1"/>
    <col min="15" max="15" width="13.25" style="20" bestFit="1" customWidth="1"/>
    <col min="16" max="16384" width="9" style="1"/>
  </cols>
  <sheetData>
    <row r="1" spans="1:15" x14ac:dyDescent="0.3">
      <c r="A1" s="8" t="s">
        <v>51</v>
      </c>
      <c r="B1" s="9">
        <v>1</v>
      </c>
      <c r="C1" s="23"/>
      <c r="D1" s="13" t="s">
        <v>49</v>
      </c>
      <c r="E1" s="13" t="s">
        <v>67</v>
      </c>
      <c r="F1" s="15" t="s">
        <v>68</v>
      </c>
      <c r="G1" s="13" t="s">
        <v>55</v>
      </c>
      <c r="H1" s="16" t="s">
        <v>60</v>
      </c>
      <c r="I1" s="16" t="s">
        <v>50</v>
      </c>
      <c r="J1" s="13" t="s">
        <v>59</v>
      </c>
      <c r="K1" s="51" t="s">
        <v>1</v>
      </c>
      <c r="L1" s="13" t="s">
        <v>56</v>
      </c>
      <c r="M1" s="13" t="s">
        <v>57</v>
      </c>
      <c r="N1" s="16" t="s">
        <v>58</v>
      </c>
      <c r="O1" s="16" t="s">
        <v>88</v>
      </c>
    </row>
    <row r="2" spans="1:15" x14ac:dyDescent="0.3">
      <c r="A2" s="8" t="s">
        <v>52</v>
      </c>
      <c r="B2" s="4" t="e">
        <f>VLOOKUP(B1,D:D,1,FALSE)</f>
        <v>#N/A</v>
      </c>
      <c r="C2" s="2"/>
      <c r="D2" s="17"/>
      <c r="F2" s="19"/>
      <c r="G2" s="18"/>
      <c r="H2" s="20"/>
      <c r="J2" s="21"/>
      <c r="M2" s="21"/>
    </row>
    <row r="3" spans="1:15" x14ac:dyDescent="0.3">
      <c r="A3" s="4" t="s">
        <v>53</v>
      </c>
      <c r="B3" s="60" t="b">
        <f>NOT(ISNA(B2))</f>
        <v>0</v>
      </c>
      <c r="C3" s="2"/>
      <c r="D3" s="17"/>
      <c r="F3" s="19"/>
      <c r="G3" s="18"/>
      <c r="H3" s="20"/>
      <c r="J3" s="21"/>
      <c r="M3" s="21"/>
    </row>
    <row r="4" spans="1:15" x14ac:dyDescent="0.3">
      <c r="A4" s="2"/>
      <c r="B4" s="2"/>
      <c r="C4" s="2"/>
      <c r="D4" s="17"/>
      <c r="F4" s="19"/>
      <c r="G4" s="18"/>
      <c r="H4" s="20"/>
      <c r="J4" s="21"/>
      <c r="M4" s="21"/>
    </row>
    <row r="5" spans="1:15" x14ac:dyDescent="0.3">
      <c r="A5" s="2"/>
      <c r="B5" s="2"/>
      <c r="C5" s="2"/>
      <c r="D5" s="17"/>
      <c r="F5" s="19"/>
      <c r="G5" s="18"/>
      <c r="H5" s="20"/>
      <c r="J5" s="21"/>
      <c r="M5" s="21"/>
    </row>
    <row r="6" spans="1:15" x14ac:dyDescent="0.3">
      <c r="A6" s="2"/>
      <c r="B6" s="2"/>
      <c r="C6" s="2"/>
      <c r="D6" s="17"/>
      <c r="F6" s="19"/>
      <c r="G6" s="18"/>
      <c r="H6" s="20"/>
      <c r="J6" s="21"/>
      <c r="M6" s="21"/>
    </row>
    <row r="7" spans="1:15" x14ac:dyDescent="0.3">
      <c r="A7" s="2"/>
      <c r="B7" s="2"/>
      <c r="C7" s="2"/>
      <c r="D7" s="17"/>
      <c r="F7" s="19"/>
      <c r="G7" s="18"/>
      <c r="H7" s="20"/>
      <c r="J7" s="21"/>
      <c r="M7" s="21"/>
    </row>
    <row r="8" spans="1:15" x14ac:dyDescent="0.3">
      <c r="A8" s="2"/>
      <c r="B8" s="2"/>
      <c r="C8" s="2"/>
      <c r="D8" s="17"/>
      <c r="F8" s="19"/>
      <c r="G8" s="18"/>
      <c r="H8" s="20"/>
      <c r="J8" s="21"/>
      <c r="M8" s="21"/>
    </row>
    <row r="9" spans="1:15" x14ac:dyDescent="0.3">
      <c r="A9" s="2"/>
      <c r="B9" s="2"/>
      <c r="C9" s="2"/>
      <c r="D9" s="17"/>
      <c r="F9" s="19"/>
      <c r="G9" s="18"/>
      <c r="H9" s="20"/>
      <c r="J9" s="21"/>
      <c r="M9" s="21"/>
    </row>
    <row r="10" spans="1:15" x14ac:dyDescent="0.3">
      <c r="A10" s="2"/>
      <c r="B10" s="2"/>
      <c r="C10" s="2"/>
      <c r="D10" s="17"/>
      <c r="F10" s="19"/>
      <c r="G10" s="18"/>
      <c r="H10" s="20"/>
      <c r="J10" s="21"/>
      <c r="M10" s="21"/>
    </row>
    <row r="11" spans="1:15" x14ac:dyDescent="0.3">
      <c r="A11" s="2"/>
      <c r="B11" s="2"/>
      <c r="C11" s="2"/>
      <c r="D11" s="17"/>
      <c r="F11" s="19"/>
      <c r="G11" s="18"/>
      <c r="H11" s="20"/>
      <c r="J11" s="21"/>
      <c r="M11" s="21"/>
    </row>
    <row r="12" spans="1:15" x14ac:dyDescent="0.3">
      <c r="A12" s="2"/>
      <c r="B12" s="2"/>
      <c r="C12" s="2"/>
      <c r="D12" s="17"/>
      <c r="F12" s="19"/>
      <c r="G12" s="18"/>
      <c r="H12" s="20"/>
      <c r="J12" s="21"/>
      <c r="M12" s="21"/>
    </row>
    <row r="13" spans="1:15" x14ac:dyDescent="0.3">
      <c r="A13" s="2"/>
      <c r="B13" s="2"/>
      <c r="C13" s="2"/>
      <c r="D13" s="17"/>
      <c r="F13" s="19"/>
      <c r="G13" s="18"/>
      <c r="H13" s="20"/>
      <c r="J13" s="21"/>
      <c r="M13" s="21"/>
    </row>
    <row r="14" spans="1:15" x14ac:dyDescent="0.3">
      <c r="A14" s="2"/>
      <c r="B14" s="2"/>
      <c r="C14" s="2"/>
      <c r="D14" s="17"/>
      <c r="F14" s="19"/>
      <c r="G14" s="18"/>
      <c r="H14" s="20"/>
      <c r="J14" s="21"/>
      <c r="M14" s="21"/>
    </row>
    <row r="15" spans="1:15" x14ac:dyDescent="0.3">
      <c r="A15" s="2"/>
      <c r="B15" s="2"/>
      <c r="C15" s="2"/>
      <c r="D15" s="17"/>
      <c r="F15" s="19"/>
      <c r="G15" s="18"/>
      <c r="H15" s="20"/>
      <c r="J15" s="21"/>
      <c r="M15" s="21"/>
    </row>
    <row r="16" spans="1:15" x14ac:dyDescent="0.3">
      <c r="A16" s="2"/>
      <c r="B16" s="2"/>
      <c r="C16" s="2"/>
      <c r="D16" s="17"/>
      <c r="F16" s="19"/>
      <c r="G16" s="18"/>
      <c r="H16" s="20"/>
      <c r="J16" s="21"/>
      <c r="M16" s="21"/>
    </row>
    <row r="17" spans="1:13" x14ac:dyDescent="0.3">
      <c r="A17" s="2"/>
      <c r="B17" s="2"/>
      <c r="C17" s="2"/>
      <c r="D17" s="17"/>
      <c r="F17" s="19"/>
      <c r="G17" s="18"/>
      <c r="H17" s="20"/>
      <c r="J17" s="21"/>
      <c r="M17" s="21"/>
    </row>
    <row r="18" spans="1:13" x14ac:dyDescent="0.3">
      <c r="A18" s="2"/>
      <c r="B18" s="2"/>
      <c r="C18" s="2"/>
      <c r="D18" s="17"/>
      <c r="F18" s="19"/>
      <c r="G18" s="18"/>
      <c r="H18" s="20"/>
      <c r="J18" s="21"/>
      <c r="M18" s="21"/>
    </row>
    <row r="19" spans="1:13" x14ac:dyDescent="0.3">
      <c r="A19" s="2"/>
      <c r="B19" s="2"/>
      <c r="C19" s="2"/>
      <c r="D19" s="22"/>
    </row>
    <row r="20" spans="1:13" x14ac:dyDescent="0.3">
      <c r="A20" s="2"/>
      <c r="B20" s="2"/>
      <c r="C20" s="2"/>
      <c r="D20" s="22"/>
    </row>
    <row r="21" spans="1:13" x14ac:dyDescent="0.3">
      <c r="A21" s="2"/>
      <c r="B21" s="2"/>
      <c r="C21" s="2"/>
      <c r="D21" s="22"/>
    </row>
    <row r="22" spans="1:13" x14ac:dyDescent="0.3">
      <c r="A22" s="2"/>
      <c r="B22" s="2"/>
      <c r="C22" s="2"/>
      <c r="D22" s="22"/>
    </row>
    <row r="23" spans="1:13" x14ac:dyDescent="0.3">
      <c r="A23" s="2"/>
      <c r="B23" s="2"/>
      <c r="C23" s="2"/>
      <c r="D23" s="22"/>
    </row>
    <row r="24" spans="1:13" x14ac:dyDescent="0.3">
      <c r="A24" s="2"/>
      <c r="B24" s="2"/>
      <c r="C24" s="2"/>
      <c r="D24" s="22"/>
    </row>
    <row r="25" spans="1:13" x14ac:dyDescent="0.3">
      <c r="A25" s="2"/>
      <c r="B25" s="2"/>
      <c r="C25" s="2"/>
      <c r="D25" s="22"/>
    </row>
    <row r="26" spans="1:13" x14ac:dyDescent="0.3">
      <c r="A26" s="2"/>
      <c r="B26" s="2"/>
      <c r="C26" s="2"/>
      <c r="D26" s="22"/>
    </row>
    <row r="27" spans="1:13" x14ac:dyDescent="0.3">
      <c r="A27" s="2"/>
      <c r="B27" s="2"/>
      <c r="C27" s="2"/>
      <c r="D27" s="22"/>
    </row>
    <row r="28" spans="1:13" x14ac:dyDescent="0.3">
      <c r="A28" s="2"/>
      <c r="B28" s="2"/>
      <c r="C28" s="2"/>
      <c r="D28" s="22"/>
    </row>
    <row r="29" spans="1:13" x14ac:dyDescent="0.3">
      <c r="A29" s="2"/>
      <c r="B29" s="2"/>
      <c r="C29" s="2"/>
      <c r="D29" s="22"/>
    </row>
    <row r="30" spans="1:13" x14ac:dyDescent="0.3">
      <c r="A30" s="2"/>
      <c r="B30" s="2"/>
      <c r="C30" s="2"/>
      <c r="D30" s="22"/>
    </row>
    <row r="31" spans="1:13" x14ac:dyDescent="0.3">
      <c r="A31" s="2"/>
      <c r="B31" s="2"/>
      <c r="C31" s="2"/>
      <c r="D31" s="22"/>
    </row>
    <row r="32" spans="1:13" x14ac:dyDescent="0.3">
      <c r="A32" s="2"/>
      <c r="B32" s="2"/>
      <c r="C32" s="2"/>
      <c r="D32" s="22"/>
    </row>
    <row r="33" spans="1:4" x14ac:dyDescent="0.3">
      <c r="A33" s="2"/>
      <c r="B33" s="2"/>
      <c r="C33" s="2"/>
      <c r="D33" s="22"/>
    </row>
    <row r="34" spans="1:4" x14ac:dyDescent="0.3">
      <c r="A34" s="2"/>
      <c r="B34" s="2"/>
      <c r="C34" s="2"/>
      <c r="D34" s="22"/>
    </row>
    <row r="35" spans="1:4" x14ac:dyDescent="0.3">
      <c r="A35" s="2"/>
      <c r="B35" s="2"/>
      <c r="C35" s="2"/>
      <c r="D35" s="22"/>
    </row>
    <row r="36" spans="1:4" x14ac:dyDescent="0.3">
      <c r="A36" s="2"/>
      <c r="B36" s="2"/>
      <c r="C36" s="2"/>
      <c r="D36" s="22"/>
    </row>
    <row r="37" spans="1:4" x14ac:dyDescent="0.3">
      <c r="A37" s="2"/>
      <c r="B37" s="2"/>
      <c r="C37" s="2"/>
      <c r="D37" s="22"/>
    </row>
    <row r="38" spans="1:4" x14ac:dyDescent="0.3">
      <c r="A38" s="2"/>
      <c r="B38" s="2"/>
      <c r="C38" s="2"/>
      <c r="D38" s="22"/>
    </row>
    <row r="39" spans="1:4" x14ac:dyDescent="0.3">
      <c r="A39" s="2"/>
      <c r="B39" s="2"/>
      <c r="C39" s="2"/>
      <c r="D39" s="22"/>
    </row>
    <row r="40" spans="1:4" x14ac:dyDescent="0.3">
      <c r="A40" s="2"/>
      <c r="B40" s="2"/>
      <c r="C40" s="2"/>
      <c r="D40" s="22"/>
    </row>
    <row r="41" spans="1:4" x14ac:dyDescent="0.3">
      <c r="A41" s="2"/>
      <c r="B41" s="2"/>
      <c r="C41" s="2"/>
      <c r="D41" s="22"/>
    </row>
    <row r="42" spans="1:4" x14ac:dyDescent="0.3">
      <c r="A42" s="2"/>
      <c r="B42" s="2"/>
      <c r="C42" s="2"/>
      <c r="D42" s="22"/>
    </row>
    <row r="43" spans="1:4" x14ac:dyDescent="0.3">
      <c r="A43" s="2"/>
      <c r="B43" s="2"/>
      <c r="C43" s="2"/>
      <c r="D43" s="22"/>
    </row>
    <row r="44" spans="1:4" x14ac:dyDescent="0.3">
      <c r="A44" s="2"/>
      <c r="B44" s="2"/>
      <c r="C44" s="2"/>
      <c r="D44" s="22"/>
    </row>
    <row r="45" spans="1:4" x14ac:dyDescent="0.3">
      <c r="A45" s="2"/>
      <c r="B45" s="2"/>
      <c r="C45" s="2"/>
      <c r="D45" s="22"/>
    </row>
    <row r="46" spans="1:4" x14ac:dyDescent="0.3">
      <c r="A46" s="2"/>
      <c r="B46" s="2"/>
      <c r="C46" s="2"/>
      <c r="D46" s="22"/>
    </row>
    <row r="47" spans="1:4" x14ac:dyDescent="0.3">
      <c r="A47" s="2"/>
      <c r="B47" s="2"/>
      <c r="C47" s="2"/>
      <c r="D47" s="22"/>
    </row>
    <row r="48" spans="1:4" x14ac:dyDescent="0.3">
      <c r="A48" s="2"/>
      <c r="B48" s="2"/>
      <c r="C48" s="2"/>
      <c r="D48" s="22"/>
    </row>
    <row r="49" spans="1:4" x14ac:dyDescent="0.3">
      <c r="A49" s="2"/>
      <c r="B49" s="2"/>
      <c r="C49" s="2"/>
      <c r="D49" s="22"/>
    </row>
    <row r="50" spans="1:4" x14ac:dyDescent="0.3">
      <c r="A50" s="2"/>
      <c r="B50" s="2"/>
      <c r="C50" s="2"/>
      <c r="D50" s="22"/>
    </row>
    <row r="51" spans="1:4" x14ac:dyDescent="0.3">
      <c r="A51" s="2"/>
      <c r="B51" s="2"/>
      <c r="C51" s="2"/>
      <c r="D51" s="22"/>
    </row>
    <row r="52" spans="1:4" x14ac:dyDescent="0.3">
      <c r="A52" s="2"/>
      <c r="B52" s="2"/>
      <c r="C52" s="2"/>
      <c r="D52" s="22"/>
    </row>
    <row r="53" spans="1:4" x14ac:dyDescent="0.3">
      <c r="A53" s="2"/>
      <c r="B53" s="2"/>
      <c r="C53" s="2"/>
      <c r="D53" s="22"/>
    </row>
    <row r="54" spans="1:4" x14ac:dyDescent="0.3">
      <c r="A54" s="2"/>
      <c r="B54" s="2"/>
      <c r="C54" s="2"/>
      <c r="D54" s="22"/>
    </row>
    <row r="55" spans="1:4" x14ac:dyDescent="0.3">
      <c r="A55" s="2"/>
      <c r="B55" s="2"/>
      <c r="C55" s="2"/>
      <c r="D55" s="22"/>
    </row>
    <row r="56" spans="1:4" x14ac:dyDescent="0.3">
      <c r="A56" s="2"/>
      <c r="B56" s="2"/>
      <c r="C56" s="2"/>
      <c r="D56" s="22"/>
    </row>
    <row r="57" spans="1:4" x14ac:dyDescent="0.3">
      <c r="A57" s="2"/>
      <c r="B57" s="2"/>
      <c r="C57" s="2"/>
      <c r="D57" s="22"/>
    </row>
    <row r="58" spans="1:4" x14ac:dyDescent="0.3">
      <c r="A58" s="2"/>
      <c r="B58" s="2"/>
      <c r="C58" s="2"/>
      <c r="D58" s="22"/>
    </row>
    <row r="59" spans="1:4" x14ac:dyDescent="0.3">
      <c r="A59" s="2"/>
      <c r="B59" s="2"/>
      <c r="C59" s="2"/>
      <c r="D59" s="22"/>
    </row>
    <row r="60" spans="1:4" x14ac:dyDescent="0.3">
      <c r="A60" s="2"/>
      <c r="B60" s="2"/>
      <c r="C60" s="2"/>
      <c r="D60" s="22"/>
    </row>
    <row r="61" spans="1:4" x14ac:dyDescent="0.3">
      <c r="A61" s="2"/>
      <c r="B61" s="2"/>
      <c r="C61" s="2"/>
      <c r="D61" s="22"/>
    </row>
    <row r="62" spans="1:4" x14ac:dyDescent="0.3">
      <c r="A62" s="2"/>
      <c r="B62" s="2"/>
      <c r="C62" s="2"/>
      <c r="D62" s="22"/>
    </row>
    <row r="63" spans="1:4" x14ac:dyDescent="0.3">
      <c r="A63" s="2"/>
      <c r="B63" s="2"/>
      <c r="C63" s="2"/>
      <c r="D63" s="22"/>
    </row>
    <row r="64" spans="1:4" x14ac:dyDescent="0.3">
      <c r="A64" s="2"/>
      <c r="B64" s="2"/>
      <c r="C64" s="2"/>
      <c r="D64" s="22"/>
    </row>
    <row r="65" spans="1:4" x14ac:dyDescent="0.3">
      <c r="A65" s="2"/>
      <c r="B65" s="2"/>
      <c r="C65" s="2"/>
      <c r="D65" s="22"/>
    </row>
    <row r="66" spans="1:4" x14ac:dyDescent="0.3">
      <c r="A66" s="2"/>
      <c r="B66" s="2"/>
      <c r="C66" s="2"/>
      <c r="D66" s="22"/>
    </row>
    <row r="67" spans="1:4" x14ac:dyDescent="0.3">
      <c r="A67" s="2"/>
      <c r="B67" s="2"/>
      <c r="C67" s="2"/>
      <c r="D67" s="22"/>
    </row>
    <row r="68" spans="1:4" x14ac:dyDescent="0.3">
      <c r="A68" s="2"/>
      <c r="B68" s="2"/>
      <c r="C68" s="2"/>
      <c r="D68" s="22"/>
    </row>
    <row r="69" spans="1:4" x14ac:dyDescent="0.3">
      <c r="A69" s="2"/>
      <c r="B69" s="2"/>
      <c r="C69" s="2"/>
      <c r="D69" s="22"/>
    </row>
    <row r="70" spans="1:4" x14ac:dyDescent="0.3">
      <c r="A70" s="2"/>
      <c r="B70" s="2"/>
      <c r="C70" s="2"/>
      <c r="D70" s="22"/>
    </row>
    <row r="71" spans="1:4" x14ac:dyDescent="0.3">
      <c r="A71" s="2"/>
      <c r="B71" s="2"/>
      <c r="C71" s="2"/>
      <c r="D71" s="22"/>
    </row>
    <row r="72" spans="1:4" x14ac:dyDescent="0.3">
      <c r="A72" s="2"/>
      <c r="B72" s="2"/>
      <c r="C72" s="2"/>
      <c r="D72" s="22"/>
    </row>
    <row r="73" spans="1:4" x14ac:dyDescent="0.3">
      <c r="A73" s="2"/>
      <c r="B73" s="2"/>
      <c r="C73" s="2"/>
      <c r="D73" s="22"/>
    </row>
    <row r="74" spans="1:4" x14ac:dyDescent="0.3">
      <c r="A74" s="2"/>
      <c r="B74" s="2"/>
      <c r="C74" s="2"/>
      <c r="D74" s="22"/>
    </row>
    <row r="75" spans="1:4" x14ac:dyDescent="0.3">
      <c r="A75" s="2"/>
      <c r="B75" s="2"/>
      <c r="C75" s="2"/>
      <c r="D75" s="22"/>
    </row>
    <row r="76" spans="1:4" x14ac:dyDescent="0.3">
      <c r="A76" s="2"/>
      <c r="B76" s="2"/>
      <c r="C76" s="2"/>
      <c r="D76" s="22"/>
    </row>
    <row r="77" spans="1:4" x14ac:dyDescent="0.3">
      <c r="A77" s="2"/>
      <c r="B77" s="2"/>
      <c r="C77" s="2"/>
      <c r="D77" s="22"/>
    </row>
    <row r="78" spans="1:4" x14ac:dyDescent="0.3">
      <c r="A78" s="2"/>
      <c r="B78" s="2"/>
      <c r="C78" s="2"/>
      <c r="D78" s="22"/>
    </row>
    <row r="79" spans="1:4" x14ac:dyDescent="0.3">
      <c r="A79" s="2"/>
      <c r="B79" s="2"/>
      <c r="C79" s="2"/>
      <c r="D79" s="22"/>
    </row>
    <row r="80" spans="1:4" x14ac:dyDescent="0.3">
      <c r="A80" s="2"/>
      <c r="B80" s="2"/>
      <c r="C80" s="2"/>
      <c r="D80" s="22"/>
    </row>
    <row r="81" spans="1:4" x14ac:dyDescent="0.3">
      <c r="A81" s="2"/>
      <c r="B81" s="2"/>
      <c r="C81" s="2"/>
      <c r="D81" s="22"/>
    </row>
    <row r="82" spans="1:4" x14ac:dyDescent="0.3">
      <c r="A82" s="2"/>
      <c r="B82" s="2"/>
      <c r="C82" s="2"/>
      <c r="D82" s="22"/>
    </row>
    <row r="83" spans="1:4" x14ac:dyDescent="0.3">
      <c r="A83" s="2"/>
      <c r="B83" s="2"/>
      <c r="C83" s="2"/>
      <c r="D83" s="22"/>
    </row>
    <row r="84" spans="1:4" x14ac:dyDescent="0.3">
      <c r="A84" s="2"/>
      <c r="B84" s="2"/>
      <c r="C84" s="2"/>
      <c r="D84" s="22"/>
    </row>
    <row r="85" spans="1:4" x14ac:dyDescent="0.3">
      <c r="A85" s="2"/>
      <c r="B85" s="2"/>
      <c r="C85" s="2"/>
      <c r="D85" s="22"/>
    </row>
    <row r="86" spans="1:4" x14ac:dyDescent="0.3">
      <c r="A86" s="2"/>
      <c r="B86" s="2"/>
      <c r="C86" s="2"/>
      <c r="D86" s="22"/>
    </row>
    <row r="87" spans="1:4" x14ac:dyDescent="0.3">
      <c r="A87" s="2"/>
      <c r="B87" s="2"/>
      <c r="C87" s="2"/>
      <c r="D87" s="22"/>
    </row>
    <row r="88" spans="1:4" x14ac:dyDescent="0.3">
      <c r="A88" s="2"/>
      <c r="B88" s="2"/>
      <c r="C88" s="2"/>
      <c r="D88" s="22"/>
    </row>
    <row r="89" spans="1:4" x14ac:dyDescent="0.3">
      <c r="A89" s="2"/>
      <c r="B89" s="2"/>
      <c r="C89" s="2"/>
      <c r="D89" s="22"/>
    </row>
    <row r="90" spans="1:4" x14ac:dyDescent="0.3">
      <c r="A90" s="2"/>
      <c r="B90" s="2"/>
      <c r="C90" s="2"/>
      <c r="D90" s="22"/>
    </row>
    <row r="91" spans="1:4" x14ac:dyDescent="0.3">
      <c r="A91" s="2"/>
      <c r="B91" s="2"/>
      <c r="C91" s="2"/>
      <c r="D91" s="22"/>
    </row>
    <row r="92" spans="1:4" x14ac:dyDescent="0.3">
      <c r="A92" s="2"/>
      <c r="B92" s="2"/>
      <c r="C92" s="2"/>
      <c r="D92" s="22"/>
    </row>
    <row r="93" spans="1:4" x14ac:dyDescent="0.3">
      <c r="A93" s="2"/>
      <c r="B93" s="2"/>
      <c r="C93" s="2"/>
      <c r="D93" s="22"/>
    </row>
    <row r="94" spans="1:4" x14ac:dyDescent="0.3">
      <c r="A94" s="2"/>
      <c r="B94" s="2"/>
      <c r="C94" s="2"/>
      <c r="D94" s="22"/>
    </row>
    <row r="95" spans="1:4" x14ac:dyDescent="0.3">
      <c r="A95" s="2"/>
      <c r="B95" s="2"/>
      <c r="C95" s="2"/>
      <c r="D95" s="22"/>
    </row>
    <row r="96" spans="1:4" x14ac:dyDescent="0.3">
      <c r="A96" s="2"/>
      <c r="B96" s="2"/>
      <c r="C96" s="2"/>
      <c r="D96" s="22"/>
    </row>
    <row r="97" spans="1:4" x14ac:dyDescent="0.3">
      <c r="A97" s="2"/>
      <c r="B97" s="2"/>
      <c r="C97" s="2"/>
      <c r="D97" s="22"/>
    </row>
    <row r="98" spans="1:4" x14ac:dyDescent="0.3">
      <c r="A98" s="2"/>
      <c r="B98" s="2"/>
      <c r="C98" s="2"/>
      <c r="D98" s="22"/>
    </row>
    <row r="99" spans="1:4" x14ac:dyDescent="0.3">
      <c r="A99" s="2"/>
      <c r="B99" s="2"/>
      <c r="C99" s="2"/>
      <c r="D99" s="22"/>
    </row>
    <row r="100" spans="1:4" x14ac:dyDescent="0.3">
      <c r="A100" s="2"/>
      <c r="B100" s="2"/>
      <c r="C100" s="2"/>
      <c r="D100" s="22"/>
    </row>
    <row r="101" spans="1:4" x14ac:dyDescent="0.3">
      <c r="A101" s="2"/>
      <c r="B101" s="2"/>
      <c r="C101" s="2"/>
      <c r="D101" s="22"/>
    </row>
    <row r="102" spans="1:4" x14ac:dyDescent="0.3">
      <c r="A102" s="2"/>
      <c r="B102" s="2"/>
      <c r="C102" s="2"/>
      <c r="D102" s="22"/>
    </row>
    <row r="103" spans="1:4" x14ac:dyDescent="0.3">
      <c r="A103" s="2"/>
      <c r="B103" s="2"/>
      <c r="C103" s="2"/>
      <c r="D103" s="22"/>
    </row>
    <row r="104" spans="1:4" x14ac:dyDescent="0.3">
      <c r="A104" s="2"/>
      <c r="B104" s="2"/>
      <c r="C104" s="2"/>
      <c r="D104" s="22"/>
    </row>
    <row r="105" spans="1:4" x14ac:dyDescent="0.3">
      <c r="A105" s="2"/>
      <c r="B105" s="2"/>
      <c r="C105" s="2"/>
      <c r="D105" s="22"/>
    </row>
    <row r="106" spans="1:4" x14ac:dyDescent="0.3">
      <c r="A106" s="2"/>
      <c r="B106" s="2"/>
      <c r="C106" s="2"/>
      <c r="D106" s="22"/>
    </row>
    <row r="107" spans="1:4" x14ac:dyDescent="0.3">
      <c r="A107" s="2"/>
      <c r="B107" s="2"/>
      <c r="C107" s="2"/>
      <c r="D107" s="22"/>
    </row>
    <row r="108" spans="1:4" x14ac:dyDescent="0.3">
      <c r="A108" s="2"/>
      <c r="B108" s="2"/>
      <c r="C108" s="2"/>
      <c r="D108" s="22"/>
    </row>
    <row r="109" spans="1:4" x14ac:dyDescent="0.3">
      <c r="A109" s="2"/>
      <c r="B109" s="2"/>
      <c r="C109" s="2"/>
      <c r="D109" s="22"/>
    </row>
    <row r="110" spans="1:4" x14ac:dyDescent="0.3">
      <c r="A110" s="2"/>
      <c r="B110" s="2"/>
      <c r="C110" s="2"/>
      <c r="D110" s="22"/>
    </row>
    <row r="111" spans="1:4" x14ac:dyDescent="0.3">
      <c r="A111" s="2"/>
      <c r="B111" s="2"/>
      <c r="C111" s="2"/>
      <c r="D111" s="22"/>
    </row>
    <row r="112" spans="1:4" x14ac:dyDescent="0.3">
      <c r="A112" s="2"/>
      <c r="B112" s="2"/>
      <c r="C112" s="2"/>
      <c r="D112" s="22"/>
    </row>
    <row r="113" spans="1:4" x14ac:dyDescent="0.3">
      <c r="A113" s="2"/>
      <c r="B113" s="2"/>
      <c r="C113" s="2"/>
      <c r="D113" s="22"/>
    </row>
    <row r="114" spans="1:4" x14ac:dyDescent="0.3">
      <c r="A114" s="2"/>
      <c r="B114" s="2"/>
      <c r="C114" s="2"/>
      <c r="D114" s="22"/>
    </row>
    <row r="115" spans="1:4" x14ac:dyDescent="0.3">
      <c r="A115" s="2"/>
      <c r="B115" s="2"/>
      <c r="C115" s="2"/>
      <c r="D115" s="22"/>
    </row>
    <row r="116" spans="1:4" x14ac:dyDescent="0.3">
      <c r="A116" s="2"/>
      <c r="B116" s="2"/>
      <c r="C116" s="2"/>
      <c r="D116" s="22"/>
    </row>
    <row r="117" spans="1:4" x14ac:dyDescent="0.3">
      <c r="A117" s="2"/>
      <c r="B117" s="2"/>
      <c r="C117" s="2"/>
      <c r="D117" s="22"/>
    </row>
    <row r="118" spans="1:4" x14ac:dyDescent="0.3">
      <c r="A118" s="2"/>
      <c r="B118" s="2"/>
      <c r="C118" s="2"/>
      <c r="D118" s="22"/>
    </row>
    <row r="119" spans="1:4" x14ac:dyDescent="0.3">
      <c r="A119" s="2"/>
      <c r="B119" s="2"/>
      <c r="C119" s="2"/>
      <c r="D119" s="22"/>
    </row>
    <row r="120" spans="1:4" x14ac:dyDescent="0.3">
      <c r="A120" s="2"/>
      <c r="B120" s="2"/>
      <c r="C120" s="2"/>
      <c r="D120" s="22"/>
    </row>
    <row r="121" spans="1:4" x14ac:dyDescent="0.3">
      <c r="A121" s="2"/>
      <c r="B121" s="2"/>
      <c r="C121" s="2"/>
      <c r="D121" s="22"/>
    </row>
    <row r="122" spans="1:4" x14ac:dyDescent="0.3">
      <c r="A122" s="2"/>
      <c r="B122" s="2"/>
      <c r="C122" s="2"/>
      <c r="D122" s="22"/>
    </row>
    <row r="123" spans="1:4" x14ac:dyDescent="0.3">
      <c r="A123" s="2"/>
      <c r="B123" s="2"/>
      <c r="C123" s="2"/>
      <c r="D123" s="22"/>
    </row>
    <row r="124" spans="1:4" x14ac:dyDescent="0.3">
      <c r="A124" s="2"/>
      <c r="B124" s="2"/>
      <c r="C124" s="2"/>
      <c r="D124" s="22"/>
    </row>
    <row r="125" spans="1:4" x14ac:dyDescent="0.3">
      <c r="A125" s="2"/>
      <c r="B125" s="2"/>
      <c r="C125" s="2"/>
      <c r="D125" s="22"/>
    </row>
    <row r="126" spans="1:4" x14ac:dyDescent="0.3">
      <c r="A126" s="2"/>
      <c r="B126" s="2"/>
      <c r="C126" s="2"/>
      <c r="D126" s="22"/>
    </row>
    <row r="127" spans="1:4" x14ac:dyDescent="0.3">
      <c r="A127" s="2"/>
      <c r="B127" s="2"/>
      <c r="C127" s="2"/>
      <c r="D127" s="22"/>
    </row>
    <row r="128" spans="1:4" x14ac:dyDescent="0.3">
      <c r="A128" s="2"/>
      <c r="B128" s="2"/>
      <c r="C128" s="2"/>
      <c r="D128" s="22"/>
    </row>
    <row r="129" spans="1:4" x14ac:dyDescent="0.3">
      <c r="A129" s="2"/>
      <c r="B129" s="2"/>
      <c r="C129" s="2"/>
      <c r="D129" s="22"/>
    </row>
    <row r="130" spans="1:4" x14ac:dyDescent="0.3">
      <c r="A130" s="2"/>
      <c r="B130" s="2"/>
      <c r="C130" s="2"/>
      <c r="D130" s="22"/>
    </row>
    <row r="131" spans="1:4" x14ac:dyDescent="0.3">
      <c r="A131" s="2"/>
      <c r="B131" s="2"/>
      <c r="C131" s="2"/>
      <c r="D131" s="22"/>
    </row>
    <row r="132" spans="1:4" x14ac:dyDescent="0.3">
      <c r="A132" s="2"/>
      <c r="B132" s="2"/>
      <c r="C132" s="2"/>
      <c r="D132" s="22"/>
    </row>
    <row r="133" spans="1:4" x14ac:dyDescent="0.3">
      <c r="A133" s="2"/>
      <c r="B133" s="2"/>
      <c r="C133" s="2"/>
      <c r="D133" s="22"/>
    </row>
    <row r="134" spans="1:4" x14ac:dyDescent="0.3">
      <c r="A134" s="2"/>
      <c r="B134" s="2"/>
      <c r="C134" s="2"/>
      <c r="D134" s="22"/>
    </row>
    <row r="135" spans="1:4" x14ac:dyDescent="0.3">
      <c r="A135" s="2"/>
      <c r="B135" s="2"/>
      <c r="C135" s="2"/>
      <c r="D135" s="22"/>
    </row>
    <row r="136" spans="1:4" x14ac:dyDescent="0.3">
      <c r="A136" s="2"/>
      <c r="B136" s="2"/>
      <c r="C136" s="2"/>
      <c r="D136" s="22"/>
    </row>
    <row r="137" spans="1:4" x14ac:dyDescent="0.3">
      <c r="A137" s="2"/>
      <c r="B137" s="2"/>
      <c r="C137" s="2"/>
      <c r="D137" s="22"/>
    </row>
    <row r="138" spans="1:4" x14ac:dyDescent="0.3">
      <c r="A138" s="2"/>
      <c r="B138" s="2"/>
      <c r="C138" s="2"/>
      <c r="D138" s="22"/>
    </row>
    <row r="139" spans="1:4" x14ac:dyDescent="0.3">
      <c r="A139" s="2"/>
      <c r="B139" s="2"/>
      <c r="C139" s="2"/>
      <c r="D139" s="22"/>
    </row>
    <row r="140" spans="1:4" x14ac:dyDescent="0.3">
      <c r="A140" s="2"/>
      <c r="B140" s="2"/>
      <c r="C140" s="2"/>
      <c r="D140" s="22"/>
    </row>
    <row r="141" spans="1:4" x14ac:dyDescent="0.3">
      <c r="A141" s="2"/>
      <c r="B141" s="2"/>
      <c r="C141" s="2"/>
      <c r="D141" s="22"/>
    </row>
    <row r="142" spans="1:4" x14ac:dyDescent="0.3">
      <c r="A142" s="2"/>
      <c r="B142" s="2"/>
      <c r="C142" s="2"/>
      <c r="D142" s="22"/>
    </row>
    <row r="143" spans="1:4" x14ac:dyDescent="0.3">
      <c r="A143" s="2"/>
      <c r="B143" s="2"/>
      <c r="C143" s="2"/>
      <c r="D143" s="22"/>
    </row>
    <row r="144" spans="1:4" x14ac:dyDescent="0.3">
      <c r="A144" s="2"/>
      <c r="B144" s="2"/>
      <c r="C144" s="2"/>
      <c r="D144" s="22"/>
    </row>
    <row r="145" spans="1:4" x14ac:dyDescent="0.3">
      <c r="A145" s="2"/>
      <c r="B145" s="2"/>
      <c r="C145" s="2"/>
      <c r="D145" s="22"/>
    </row>
    <row r="146" spans="1:4" x14ac:dyDescent="0.3">
      <c r="A146" s="2"/>
      <c r="B146" s="2"/>
      <c r="C146" s="2"/>
      <c r="D146" s="22"/>
    </row>
    <row r="147" spans="1:4" x14ac:dyDescent="0.3">
      <c r="A147" s="2"/>
      <c r="B147" s="2"/>
      <c r="C147" s="2"/>
      <c r="D147" s="22"/>
    </row>
    <row r="148" spans="1:4" x14ac:dyDescent="0.3">
      <c r="A148" s="2"/>
      <c r="B148" s="2"/>
      <c r="C148" s="2"/>
      <c r="D148" s="22"/>
    </row>
    <row r="149" spans="1:4" x14ac:dyDescent="0.3">
      <c r="A149" s="2"/>
      <c r="B149" s="2"/>
      <c r="C149" s="2"/>
      <c r="D149" s="22"/>
    </row>
    <row r="150" spans="1:4" x14ac:dyDescent="0.3">
      <c r="A150" s="2"/>
      <c r="B150" s="2"/>
      <c r="C150" s="2"/>
      <c r="D150" s="22"/>
    </row>
    <row r="151" spans="1:4" x14ac:dyDescent="0.3">
      <c r="A151" s="2"/>
      <c r="B151" s="2"/>
      <c r="C151" s="2"/>
      <c r="D151" s="22"/>
    </row>
    <row r="152" spans="1:4" x14ac:dyDescent="0.3">
      <c r="A152" s="2"/>
      <c r="B152" s="2"/>
      <c r="C152" s="2"/>
      <c r="D152" s="22"/>
    </row>
    <row r="153" spans="1:4" x14ac:dyDescent="0.3">
      <c r="A153" s="2"/>
      <c r="B153" s="2"/>
      <c r="C153" s="2"/>
      <c r="D153" s="22"/>
    </row>
    <row r="154" spans="1:4" x14ac:dyDescent="0.3">
      <c r="A154" s="2"/>
      <c r="B154" s="2"/>
      <c r="C154" s="2"/>
      <c r="D154" s="22"/>
    </row>
    <row r="155" spans="1:4" x14ac:dyDescent="0.3">
      <c r="A155" s="2"/>
      <c r="B155" s="2"/>
      <c r="C155" s="2"/>
      <c r="D155" s="22"/>
    </row>
    <row r="156" spans="1:4" x14ac:dyDescent="0.3">
      <c r="A156" s="2"/>
      <c r="B156" s="2"/>
      <c r="C156" s="2"/>
      <c r="D156" s="22"/>
    </row>
    <row r="157" spans="1:4" x14ac:dyDescent="0.3">
      <c r="A157" s="2"/>
      <c r="B157" s="2"/>
      <c r="C157" s="2"/>
      <c r="D157" s="22"/>
    </row>
    <row r="158" spans="1:4" x14ac:dyDescent="0.3">
      <c r="A158" s="2"/>
      <c r="B158" s="2"/>
      <c r="C158" s="2"/>
      <c r="D158" s="22"/>
    </row>
    <row r="159" spans="1:4" x14ac:dyDescent="0.3">
      <c r="A159" s="2"/>
      <c r="B159" s="2"/>
      <c r="C159" s="2"/>
      <c r="D159" s="22"/>
    </row>
    <row r="160" spans="1:4" x14ac:dyDescent="0.3">
      <c r="A160" s="2"/>
      <c r="B160" s="2"/>
      <c r="C160" s="2"/>
      <c r="D160" s="22"/>
    </row>
    <row r="161" spans="1:4" x14ac:dyDescent="0.3">
      <c r="A161" s="2"/>
      <c r="B161" s="2"/>
      <c r="C161" s="2"/>
      <c r="D161" s="22"/>
    </row>
    <row r="162" spans="1:4" x14ac:dyDescent="0.3">
      <c r="A162" s="2"/>
      <c r="B162" s="2"/>
      <c r="C162" s="2"/>
      <c r="D162" s="22"/>
    </row>
    <row r="163" spans="1:4" x14ac:dyDescent="0.3">
      <c r="A163" s="2"/>
      <c r="B163" s="2"/>
      <c r="C163" s="2"/>
      <c r="D163" s="22"/>
    </row>
    <row r="164" spans="1:4" x14ac:dyDescent="0.3">
      <c r="A164" s="2"/>
      <c r="B164" s="2"/>
      <c r="C164" s="2"/>
      <c r="D164" s="22"/>
    </row>
    <row r="165" spans="1:4" x14ac:dyDescent="0.3">
      <c r="A165" s="2"/>
      <c r="B165" s="2"/>
      <c r="C165" s="2"/>
      <c r="D165" s="22"/>
    </row>
    <row r="166" spans="1:4" x14ac:dyDescent="0.3">
      <c r="A166" s="2"/>
      <c r="B166" s="2"/>
      <c r="C166" s="2"/>
      <c r="D166" s="22"/>
    </row>
    <row r="167" spans="1:4" x14ac:dyDescent="0.3">
      <c r="A167" s="2"/>
      <c r="B167" s="2"/>
      <c r="C167" s="2"/>
      <c r="D167" s="22"/>
    </row>
    <row r="168" spans="1:4" x14ac:dyDescent="0.3">
      <c r="A168" s="2"/>
      <c r="B168" s="2"/>
      <c r="C168" s="2"/>
      <c r="D168" s="22"/>
    </row>
    <row r="169" spans="1:4" x14ac:dyDescent="0.3">
      <c r="A169" s="2"/>
      <c r="B169" s="2"/>
      <c r="C169" s="2"/>
      <c r="D169" s="22"/>
    </row>
    <row r="170" spans="1:4" x14ac:dyDescent="0.3">
      <c r="A170" s="2"/>
      <c r="B170" s="2"/>
      <c r="C170" s="2"/>
      <c r="D170" s="22"/>
    </row>
    <row r="171" spans="1:4" x14ac:dyDescent="0.3">
      <c r="A171" s="2"/>
      <c r="B171" s="2"/>
      <c r="C171" s="2"/>
      <c r="D171" s="22"/>
    </row>
    <row r="172" spans="1:4" x14ac:dyDescent="0.3">
      <c r="A172" s="2"/>
      <c r="B172" s="2"/>
      <c r="C172" s="2"/>
      <c r="D172" s="22"/>
    </row>
    <row r="173" spans="1:4" x14ac:dyDescent="0.3">
      <c r="A173" s="2"/>
      <c r="B173" s="2"/>
      <c r="C173" s="2"/>
      <c r="D173" s="22"/>
    </row>
    <row r="174" spans="1:4" x14ac:dyDescent="0.3">
      <c r="A174" s="2"/>
      <c r="B174" s="2"/>
      <c r="C174" s="2"/>
      <c r="D174" s="22"/>
    </row>
    <row r="175" spans="1:4" x14ac:dyDescent="0.3">
      <c r="A175" s="2"/>
      <c r="B175" s="2"/>
      <c r="C175" s="2"/>
      <c r="D175" s="22"/>
    </row>
    <row r="176" spans="1:4" x14ac:dyDescent="0.3">
      <c r="A176" s="2"/>
      <c r="B176" s="2"/>
      <c r="C176" s="2"/>
      <c r="D176" s="22"/>
    </row>
    <row r="177" spans="1:4" x14ac:dyDescent="0.3">
      <c r="A177" s="2"/>
      <c r="B177" s="2"/>
      <c r="C177" s="2"/>
      <c r="D177" s="22"/>
    </row>
    <row r="178" spans="1:4" x14ac:dyDescent="0.3">
      <c r="A178" s="2"/>
      <c r="B178" s="2"/>
      <c r="C178" s="2"/>
      <c r="D178" s="22"/>
    </row>
    <row r="179" spans="1:4" x14ac:dyDescent="0.3">
      <c r="A179" s="2"/>
      <c r="B179" s="2"/>
      <c r="C179" s="2"/>
      <c r="D179" s="22"/>
    </row>
    <row r="180" spans="1:4" x14ac:dyDescent="0.3">
      <c r="A180" s="2"/>
      <c r="B180" s="2"/>
      <c r="C180" s="2"/>
      <c r="D180" s="22"/>
    </row>
    <row r="181" spans="1:4" x14ac:dyDescent="0.3">
      <c r="A181" s="2"/>
      <c r="B181" s="2"/>
      <c r="C181" s="2"/>
      <c r="D181" s="22"/>
    </row>
    <row r="182" spans="1:4" x14ac:dyDescent="0.3">
      <c r="A182" s="2"/>
      <c r="B182" s="2"/>
      <c r="C182" s="2"/>
      <c r="D182" s="22"/>
    </row>
    <row r="183" spans="1:4" x14ac:dyDescent="0.3">
      <c r="A183" s="2"/>
      <c r="B183" s="2"/>
      <c r="C183" s="2"/>
      <c r="D183" s="22"/>
    </row>
    <row r="184" spans="1:4" x14ac:dyDescent="0.3">
      <c r="A184" s="2"/>
      <c r="B184" s="2"/>
      <c r="C184" s="2"/>
      <c r="D184" s="22"/>
    </row>
    <row r="185" spans="1:4" x14ac:dyDescent="0.3">
      <c r="A185" s="2"/>
      <c r="B185" s="2"/>
      <c r="C185" s="2"/>
      <c r="D185" s="22"/>
    </row>
    <row r="186" spans="1:4" x14ac:dyDescent="0.3">
      <c r="A186" s="2"/>
      <c r="B186" s="2"/>
      <c r="C186" s="2"/>
      <c r="D186" s="22"/>
    </row>
    <row r="187" spans="1:4" x14ac:dyDescent="0.3">
      <c r="A187" s="2"/>
      <c r="B187" s="2"/>
      <c r="C187" s="2"/>
      <c r="D187" s="22"/>
    </row>
    <row r="188" spans="1:4" x14ac:dyDescent="0.3">
      <c r="A188" s="2"/>
      <c r="B188" s="2"/>
      <c r="C188" s="2"/>
      <c r="D188" s="22"/>
    </row>
    <row r="189" spans="1:4" x14ac:dyDescent="0.3">
      <c r="A189" s="2"/>
      <c r="B189" s="2"/>
      <c r="C189" s="2"/>
      <c r="D189" s="22"/>
    </row>
    <row r="190" spans="1:4" x14ac:dyDescent="0.3">
      <c r="A190" s="2"/>
      <c r="B190" s="2"/>
      <c r="C190" s="2"/>
      <c r="D190" s="22"/>
    </row>
    <row r="191" spans="1:4" x14ac:dyDescent="0.3">
      <c r="A191" s="2"/>
      <c r="B191" s="2"/>
      <c r="C191" s="2"/>
      <c r="D191" s="22"/>
    </row>
    <row r="192" spans="1:4" x14ac:dyDescent="0.3">
      <c r="A192" s="2"/>
      <c r="B192" s="2"/>
      <c r="C192" s="2"/>
      <c r="D192" s="22"/>
    </row>
    <row r="193" spans="1:4" x14ac:dyDescent="0.3">
      <c r="A193" s="2"/>
      <c r="B193" s="2"/>
      <c r="C193" s="2"/>
      <c r="D193" s="22"/>
    </row>
    <row r="194" spans="1:4" x14ac:dyDescent="0.3">
      <c r="A194" s="2"/>
      <c r="B194" s="2"/>
      <c r="C194" s="2"/>
      <c r="D194" s="22"/>
    </row>
    <row r="195" spans="1:4" x14ac:dyDescent="0.3">
      <c r="A195" s="2"/>
      <c r="B195" s="2"/>
      <c r="C195" s="2"/>
      <c r="D195" s="22"/>
    </row>
    <row r="196" spans="1:4" x14ac:dyDescent="0.3">
      <c r="A196" s="2"/>
      <c r="B196" s="2"/>
      <c r="C196" s="2"/>
      <c r="D196" s="22"/>
    </row>
    <row r="197" spans="1:4" x14ac:dyDescent="0.3">
      <c r="A197" s="2"/>
      <c r="B197" s="2"/>
      <c r="C197" s="2"/>
      <c r="D197" s="22"/>
    </row>
    <row r="198" spans="1:4" x14ac:dyDescent="0.3">
      <c r="A198" s="2"/>
      <c r="B198" s="2"/>
      <c r="C198" s="2"/>
      <c r="D198" s="22"/>
    </row>
    <row r="199" spans="1:4" x14ac:dyDescent="0.3">
      <c r="A199" s="2"/>
      <c r="B199" s="2"/>
      <c r="C199" s="2"/>
      <c r="D199" s="22"/>
    </row>
    <row r="200" spans="1:4" x14ac:dyDescent="0.3">
      <c r="A200" s="2"/>
      <c r="B200" s="2"/>
      <c r="C200" s="2"/>
      <c r="D200" s="22"/>
    </row>
    <row r="201" spans="1:4" x14ac:dyDescent="0.3">
      <c r="A201" s="2"/>
      <c r="B201" s="2"/>
      <c r="C201" s="2"/>
      <c r="D201" s="22"/>
    </row>
    <row r="202" spans="1:4" x14ac:dyDescent="0.3">
      <c r="A202" s="2"/>
      <c r="B202" s="2"/>
      <c r="C202" s="2"/>
      <c r="D202" s="22"/>
    </row>
    <row r="203" spans="1:4" x14ac:dyDescent="0.3">
      <c r="A203" s="2"/>
      <c r="B203" s="2"/>
      <c r="C203" s="2"/>
      <c r="D203" s="22"/>
    </row>
    <row r="204" spans="1:4" x14ac:dyDescent="0.3">
      <c r="A204" s="2"/>
      <c r="B204" s="2"/>
      <c r="C204" s="2"/>
      <c r="D204" s="22"/>
    </row>
    <row r="205" spans="1:4" x14ac:dyDescent="0.3">
      <c r="A205" s="2"/>
      <c r="B205" s="2"/>
      <c r="C205" s="2"/>
      <c r="D205" s="22"/>
    </row>
    <row r="206" spans="1:4" x14ac:dyDescent="0.3">
      <c r="A206" s="2"/>
      <c r="B206" s="2"/>
      <c r="C206" s="2"/>
      <c r="D206" s="22"/>
    </row>
    <row r="207" spans="1:4" x14ac:dyDescent="0.3">
      <c r="A207" s="2"/>
      <c r="B207" s="2"/>
      <c r="C207" s="2"/>
      <c r="D207" s="22"/>
    </row>
    <row r="208" spans="1:4" x14ac:dyDescent="0.3">
      <c r="A208" s="2"/>
      <c r="B208" s="2"/>
      <c r="C208" s="2"/>
      <c r="D208" s="22"/>
    </row>
    <row r="209" spans="1:4" x14ac:dyDescent="0.3">
      <c r="A209" s="2"/>
      <c r="B209" s="2"/>
      <c r="C209" s="2"/>
      <c r="D209" s="22"/>
    </row>
    <row r="210" spans="1:4" x14ac:dyDescent="0.3">
      <c r="A210" s="2"/>
      <c r="B210" s="2"/>
      <c r="C210" s="2"/>
      <c r="D210" s="22"/>
    </row>
    <row r="211" spans="1:4" x14ac:dyDescent="0.3">
      <c r="A211" s="2"/>
      <c r="B211" s="2"/>
      <c r="C211" s="2"/>
      <c r="D211" s="22"/>
    </row>
    <row r="212" spans="1:4" x14ac:dyDescent="0.3">
      <c r="A212" s="2"/>
      <c r="B212" s="2"/>
      <c r="C212" s="2"/>
      <c r="D212" s="22"/>
    </row>
    <row r="213" spans="1:4" x14ac:dyDescent="0.3">
      <c r="A213" s="2"/>
      <c r="B213" s="2"/>
      <c r="C213" s="2"/>
      <c r="D213" s="22"/>
    </row>
    <row r="214" spans="1:4" x14ac:dyDescent="0.3">
      <c r="A214" s="2"/>
      <c r="B214" s="2"/>
      <c r="C214" s="2"/>
      <c r="D214" s="22"/>
    </row>
    <row r="215" spans="1:4" x14ac:dyDescent="0.3">
      <c r="A215" s="2"/>
      <c r="B215" s="2"/>
      <c r="C215" s="2"/>
      <c r="D215" s="22"/>
    </row>
    <row r="216" spans="1:4" x14ac:dyDescent="0.3">
      <c r="A216" s="2"/>
      <c r="B216" s="2"/>
      <c r="C216" s="2"/>
      <c r="D216" s="22"/>
    </row>
    <row r="217" spans="1:4" x14ac:dyDescent="0.3">
      <c r="A217" s="2"/>
      <c r="B217" s="2"/>
      <c r="C217" s="2"/>
      <c r="D217" s="22"/>
    </row>
    <row r="218" spans="1:4" x14ac:dyDescent="0.3">
      <c r="A218" s="2"/>
      <c r="B218" s="2"/>
      <c r="C218" s="2"/>
      <c r="D218" s="22"/>
    </row>
    <row r="219" spans="1:4" x14ac:dyDescent="0.3">
      <c r="A219" s="2"/>
      <c r="B219" s="2"/>
      <c r="C219" s="2"/>
      <c r="D219" s="22"/>
    </row>
    <row r="220" spans="1:4" x14ac:dyDescent="0.3">
      <c r="A220" s="2"/>
      <c r="B220" s="2"/>
      <c r="C220" s="2"/>
      <c r="D220" s="22"/>
    </row>
    <row r="221" spans="1:4" x14ac:dyDescent="0.3">
      <c r="A221" s="2"/>
      <c r="B221" s="2"/>
      <c r="C221" s="2"/>
      <c r="D221" s="22"/>
    </row>
    <row r="222" spans="1:4" x14ac:dyDescent="0.3">
      <c r="A222" s="2"/>
      <c r="B222" s="2"/>
      <c r="C222" s="2"/>
      <c r="D222" s="22"/>
    </row>
    <row r="223" spans="1:4" x14ac:dyDescent="0.3">
      <c r="A223" s="2"/>
      <c r="B223" s="2"/>
      <c r="C223" s="2"/>
      <c r="D223" s="22"/>
    </row>
    <row r="224" spans="1:4" x14ac:dyDescent="0.3">
      <c r="A224" s="2"/>
      <c r="B224" s="2"/>
      <c r="C224" s="2"/>
      <c r="D224" s="22"/>
    </row>
    <row r="225" spans="1:4" x14ac:dyDescent="0.3">
      <c r="A225" s="2"/>
      <c r="B225" s="2"/>
      <c r="C225" s="2"/>
      <c r="D225" s="22"/>
    </row>
    <row r="226" spans="1:4" x14ac:dyDescent="0.3">
      <c r="A226" s="2"/>
      <c r="B226" s="2"/>
      <c r="C226" s="2"/>
      <c r="D226" s="22"/>
    </row>
    <row r="227" spans="1:4" x14ac:dyDescent="0.3">
      <c r="A227" s="2"/>
      <c r="B227" s="2"/>
      <c r="C227" s="2"/>
      <c r="D227" s="22"/>
    </row>
    <row r="228" spans="1:4" x14ac:dyDescent="0.3">
      <c r="A228" s="2"/>
      <c r="B228" s="2"/>
      <c r="C228" s="2"/>
      <c r="D228" s="22"/>
    </row>
    <row r="229" spans="1:4" x14ac:dyDescent="0.3">
      <c r="A229" s="2"/>
      <c r="B229" s="2"/>
      <c r="C229" s="2"/>
      <c r="D229" s="22"/>
    </row>
    <row r="230" spans="1:4" x14ac:dyDescent="0.3">
      <c r="A230" s="2"/>
      <c r="B230" s="2"/>
      <c r="C230" s="2"/>
      <c r="D230" s="22"/>
    </row>
    <row r="231" spans="1:4" x14ac:dyDescent="0.3">
      <c r="A231" s="2"/>
      <c r="B231" s="2"/>
      <c r="C231" s="2"/>
      <c r="D231" s="22"/>
    </row>
    <row r="232" spans="1:4" x14ac:dyDescent="0.3">
      <c r="A232" s="2"/>
      <c r="B232" s="2"/>
      <c r="C232" s="2"/>
      <c r="D232" s="22"/>
    </row>
    <row r="233" spans="1:4" x14ac:dyDescent="0.3">
      <c r="A233" s="2"/>
      <c r="B233" s="2"/>
      <c r="C233" s="2"/>
      <c r="D233" s="22"/>
    </row>
    <row r="234" spans="1:4" x14ac:dyDescent="0.3">
      <c r="A234" s="2"/>
      <c r="B234" s="2"/>
      <c r="C234" s="2"/>
      <c r="D234" s="22"/>
    </row>
    <row r="235" spans="1:4" x14ac:dyDescent="0.3">
      <c r="A235" s="2"/>
      <c r="B235" s="2"/>
      <c r="C235" s="2"/>
      <c r="D235" s="22"/>
    </row>
    <row r="236" spans="1:4" x14ac:dyDescent="0.3">
      <c r="A236" s="2"/>
      <c r="B236" s="2"/>
      <c r="C236" s="2"/>
      <c r="D236" s="22"/>
    </row>
    <row r="237" spans="1:4" x14ac:dyDescent="0.3">
      <c r="A237" s="2"/>
      <c r="B237" s="2"/>
      <c r="C237" s="2"/>
      <c r="D237" s="22"/>
    </row>
    <row r="238" spans="1:4" x14ac:dyDescent="0.3">
      <c r="A238" s="2"/>
      <c r="B238" s="2"/>
      <c r="C238" s="2"/>
      <c r="D238" s="22"/>
    </row>
    <row r="239" spans="1:4" x14ac:dyDescent="0.3">
      <c r="A239" s="2"/>
      <c r="B239" s="2"/>
      <c r="C239" s="2"/>
      <c r="D239" s="22"/>
    </row>
    <row r="240" spans="1:4" x14ac:dyDescent="0.3">
      <c r="A240" s="2"/>
      <c r="B240" s="2"/>
      <c r="C240" s="2"/>
      <c r="D240" s="22"/>
    </row>
    <row r="241" spans="1:4" x14ac:dyDescent="0.3">
      <c r="A241" s="2"/>
      <c r="B241" s="2"/>
      <c r="C241" s="2"/>
      <c r="D241" s="22"/>
    </row>
    <row r="242" spans="1:4" x14ac:dyDescent="0.3">
      <c r="A242" s="2"/>
      <c r="B242" s="2"/>
      <c r="C242" s="2"/>
      <c r="D242" s="22"/>
    </row>
    <row r="243" spans="1:4" x14ac:dyDescent="0.3">
      <c r="A243" s="2"/>
      <c r="B243" s="2"/>
      <c r="C243" s="2"/>
      <c r="D243" s="22"/>
    </row>
    <row r="244" spans="1:4" x14ac:dyDescent="0.3">
      <c r="A244" s="2"/>
      <c r="B244" s="2"/>
      <c r="C244" s="2"/>
      <c r="D244" s="22"/>
    </row>
    <row r="245" spans="1:4" x14ac:dyDescent="0.3">
      <c r="A245" s="2"/>
      <c r="B245" s="2"/>
      <c r="C245" s="2"/>
      <c r="D245" s="22"/>
    </row>
    <row r="246" spans="1:4" x14ac:dyDescent="0.3">
      <c r="A246" s="2"/>
      <c r="B246" s="2"/>
      <c r="C246" s="2"/>
      <c r="D246" s="22"/>
    </row>
    <row r="247" spans="1:4" x14ac:dyDescent="0.3">
      <c r="A247" s="2"/>
      <c r="B247" s="2"/>
      <c r="C247" s="2"/>
      <c r="D247" s="22"/>
    </row>
    <row r="248" spans="1:4" x14ac:dyDescent="0.3">
      <c r="A248" s="2"/>
      <c r="B248" s="2"/>
      <c r="C248" s="2"/>
      <c r="D248" s="22"/>
    </row>
    <row r="249" spans="1:4" x14ac:dyDescent="0.3">
      <c r="A249" s="2"/>
      <c r="B249" s="2"/>
      <c r="C249" s="2"/>
      <c r="D249" s="22"/>
    </row>
    <row r="250" spans="1:4" x14ac:dyDescent="0.3">
      <c r="A250" s="2"/>
      <c r="B250" s="2"/>
      <c r="C250" s="2"/>
      <c r="D250" s="22"/>
    </row>
    <row r="251" spans="1:4" x14ac:dyDescent="0.3">
      <c r="A251" s="2"/>
      <c r="B251" s="2"/>
      <c r="C251" s="2"/>
      <c r="D251" s="22"/>
    </row>
    <row r="252" spans="1:4" x14ac:dyDescent="0.3">
      <c r="A252" s="2"/>
      <c r="B252" s="2"/>
      <c r="C252" s="2"/>
      <c r="D252" s="22"/>
    </row>
    <row r="253" spans="1:4" x14ac:dyDescent="0.3">
      <c r="A253" s="2"/>
      <c r="B253" s="2"/>
      <c r="C253" s="2"/>
      <c r="D253" s="22"/>
    </row>
    <row r="254" spans="1:4" x14ac:dyDescent="0.3">
      <c r="A254" s="2"/>
      <c r="B254" s="2"/>
      <c r="C254" s="2"/>
      <c r="D254" s="22"/>
    </row>
    <row r="255" spans="1:4" x14ac:dyDescent="0.3">
      <c r="A255" s="2"/>
      <c r="B255" s="2"/>
      <c r="C255" s="2"/>
      <c r="D255" s="22"/>
    </row>
    <row r="256" spans="1:4" x14ac:dyDescent="0.3">
      <c r="A256" s="2"/>
      <c r="B256" s="2"/>
      <c r="C256" s="2"/>
      <c r="D256" s="22"/>
    </row>
    <row r="257" spans="1:4" x14ac:dyDescent="0.3">
      <c r="A257" s="2"/>
      <c r="B257" s="2"/>
      <c r="C257" s="2"/>
      <c r="D257" s="22"/>
    </row>
    <row r="258" spans="1:4" x14ac:dyDescent="0.3">
      <c r="A258" s="2"/>
      <c r="B258" s="2"/>
      <c r="C258" s="2"/>
      <c r="D258" s="22"/>
    </row>
    <row r="259" spans="1:4" x14ac:dyDescent="0.3">
      <c r="A259" s="2"/>
      <c r="B259" s="2"/>
      <c r="C259" s="2"/>
      <c r="D259" s="22"/>
    </row>
    <row r="260" spans="1:4" x14ac:dyDescent="0.3">
      <c r="A260" s="2"/>
      <c r="B260" s="2"/>
      <c r="C260" s="2"/>
      <c r="D260" s="22"/>
    </row>
    <row r="261" spans="1:4" x14ac:dyDescent="0.3">
      <c r="A261" s="2"/>
      <c r="B261" s="2"/>
      <c r="C261" s="2"/>
      <c r="D261" s="22"/>
    </row>
    <row r="262" spans="1:4" x14ac:dyDescent="0.3">
      <c r="A262" s="2"/>
      <c r="B262" s="2"/>
      <c r="C262" s="2"/>
      <c r="D262" s="22"/>
    </row>
    <row r="263" spans="1:4" x14ac:dyDescent="0.3">
      <c r="A263" s="2"/>
      <c r="B263" s="2"/>
      <c r="C263" s="2"/>
      <c r="D263" s="22"/>
    </row>
    <row r="264" spans="1:4" x14ac:dyDescent="0.3">
      <c r="A264" s="2"/>
      <c r="B264" s="2"/>
      <c r="C264" s="2"/>
      <c r="D264" s="22"/>
    </row>
    <row r="265" spans="1:4" x14ac:dyDescent="0.3">
      <c r="A265" s="2"/>
      <c r="B265" s="2"/>
      <c r="C265" s="2"/>
      <c r="D265" s="22"/>
    </row>
    <row r="266" spans="1:4" x14ac:dyDescent="0.3">
      <c r="A266" s="2"/>
      <c r="B266" s="2"/>
      <c r="C266" s="2"/>
      <c r="D266" s="22"/>
    </row>
    <row r="267" spans="1:4" x14ac:dyDescent="0.3">
      <c r="A267" s="2"/>
      <c r="B267" s="2"/>
      <c r="C267" s="2"/>
      <c r="D267" s="22"/>
    </row>
    <row r="268" spans="1:4" x14ac:dyDescent="0.3">
      <c r="A268" s="2"/>
      <c r="B268" s="2"/>
      <c r="C268" s="2"/>
      <c r="D268" s="22"/>
    </row>
    <row r="269" spans="1:4" x14ac:dyDescent="0.3">
      <c r="A269" s="2"/>
      <c r="B269" s="2"/>
      <c r="C269" s="2"/>
      <c r="D269" s="22"/>
    </row>
    <row r="270" spans="1:4" x14ac:dyDescent="0.3">
      <c r="A270" s="2"/>
      <c r="B270" s="2"/>
      <c r="C270" s="2"/>
      <c r="D270" s="22"/>
    </row>
    <row r="271" spans="1:4" x14ac:dyDescent="0.3">
      <c r="A271" s="2"/>
      <c r="B271" s="2"/>
      <c r="C271" s="2"/>
      <c r="D271" s="22"/>
    </row>
    <row r="272" spans="1:4" x14ac:dyDescent="0.3">
      <c r="A272" s="2"/>
      <c r="B272" s="2"/>
      <c r="C272" s="2"/>
      <c r="D272" s="22"/>
    </row>
    <row r="273" spans="1:4" x14ac:dyDescent="0.3">
      <c r="A273" s="2"/>
      <c r="B273" s="2"/>
      <c r="C273" s="2"/>
      <c r="D273" s="22"/>
    </row>
    <row r="274" spans="1:4" x14ac:dyDescent="0.3">
      <c r="A274" s="2"/>
      <c r="B274" s="2"/>
      <c r="C274" s="2"/>
      <c r="D274" s="22"/>
    </row>
    <row r="275" spans="1:4" x14ac:dyDescent="0.3">
      <c r="A275" s="2"/>
      <c r="B275" s="2"/>
      <c r="C275" s="2"/>
      <c r="D275" s="22"/>
    </row>
    <row r="276" spans="1:4" x14ac:dyDescent="0.3">
      <c r="A276" s="2"/>
      <c r="B276" s="2"/>
      <c r="C276" s="2"/>
      <c r="D276" s="22"/>
    </row>
    <row r="277" spans="1:4" x14ac:dyDescent="0.3">
      <c r="A277" s="2"/>
      <c r="B277" s="2"/>
      <c r="C277" s="2"/>
      <c r="D277" s="22"/>
    </row>
    <row r="278" spans="1:4" x14ac:dyDescent="0.3">
      <c r="A278" s="2"/>
      <c r="B278" s="2"/>
      <c r="C278" s="2"/>
      <c r="D278" s="22"/>
    </row>
    <row r="279" spans="1:4" x14ac:dyDescent="0.3">
      <c r="A279" s="2"/>
      <c r="B279" s="2"/>
      <c r="C279" s="2"/>
      <c r="D279" s="22"/>
    </row>
    <row r="280" spans="1:4" x14ac:dyDescent="0.3">
      <c r="A280" s="2"/>
      <c r="B280" s="2"/>
      <c r="C280" s="2"/>
      <c r="D280" s="22"/>
    </row>
    <row r="281" spans="1:4" x14ac:dyDescent="0.3">
      <c r="A281" s="2"/>
      <c r="B281" s="2"/>
      <c r="C281" s="2"/>
      <c r="D281" s="22"/>
    </row>
    <row r="282" spans="1:4" x14ac:dyDescent="0.3">
      <c r="A282" s="2"/>
      <c r="B282" s="2"/>
      <c r="C282" s="2"/>
      <c r="D282" s="22"/>
    </row>
    <row r="283" spans="1:4" x14ac:dyDescent="0.3">
      <c r="A283" s="2"/>
      <c r="B283" s="2"/>
      <c r="C283" s="2"/>
      <c r="D283" s="22"/>
    </row>
    <row r="284" spans="1:4" x14ac:dyDescent="0.3">
      <c r="A284" s="2"/>
      <c r="B284" s="2"/>
      <c r="C284" s="2"/>
      <c r="D284" s="22"/>
    </row>
    <row r="285" spans="1:4" x14ac:dyDescent="0.3">
      <c r="A285" s="2"/>
      <c r="B285" s="2"/>
      <c r="C285" s="2"/>
      <c r="D285" s="22"/>
    </row>
    <row r="286" spans="1:4" x14ac:dyDescent="0.3">
      <c r="A286" s="2"/>
      <c r="B286" s="2"/>
      <c r="C286" s="2"/>
      <c r="D286" s="22"/>
    </row>
    <row r="287" spans="1:4" x14ac:dyDescent="0.3">
      <c r="A287" s="2"/>
      <c r="B287" s="2"/>
      <c r="C287" s="2"/>
      <c r="D287" s="22"/>
    </row>
    <row r="288" spans="1:4" x14ac:dyDescent="0.3">
      <c r="A288" s="2"/>
      <c r="B288" s="2"/>
      <c r="C288" s="2"/>
      <c r="D288" s="22"/>
    </row>
    <row r="289" spans="1:4" x14ac:dyDescent="0.3">
      <c r="A289" s="2"/>
      <c r="B289" s="2"/>
      <c r="C289" s="2"/>
      <c r="D289" s="22"/>
    </row>
    <row r="290" spans="1:4" x14ac:dyDescent="0.3">
      <c r="A290" s="2"/>
      <c r="B290" s="2"/>
      <c r="C290" s="2"/>
      <c r="D290" s="22"/>
    </row>
    <row r="291" spans="1:4" x14ac:dyDescent="0.3">
      <c r="A291" s="2"/>
      <c r="B291" s="2"/>
      <c r="C291" s="2"/>
      <c r="D291" s="22"/>
    </row>
    <row r="292" spans="1:4" x14ac:dyDescent="0.3">
      <c r="A292" s="2"/>
      <c r="B292" s="2"/>
      <c r="C292" s="2"/>
      <c r="D292" s="22"/>
    </row>
    <row r="293" spans="1:4" x14ac:dyDescent="0.3">
      <c r="A293" s="2"/>
      <c r="B293" s="2"/>
      <c r="C293" s="2"/>
      <c r="D293" s="22"/>
    </row>
    <row r="294" spans="1:4" x14ac:dyDescent="0.3">
      <c r="A294" s="2"/>
      <c r="B294" s="2"/>
      <c r="C294" s="2"/>
      <c r="D294" s="22"/>
    </row>
    <row r="295" spans="1:4" x14ac:dyDescent="0.3">
      <c r="A295" s="2"/>
      <c r="B295" s="2"/>
      <c r="C295" s="2"/>
      <c r="D295" s="22"/>
    </row>
    <row r="296" spans="1:4" x14ac:dyDescent="0.3">
      <c r="A296" s="2"/>
      <c r="B296" s="2"/>
      <c r="C296" s="2"/>
      <c r="D296" s="22"/>
    </row>
    <row r="297" spans="1:4" x14ac:dyDescent="0.3">
      <c r="A297" s="2"/>
      <c r="B297" s="2"/>
      <c r="C297" s="2"/>
      <c r="D297" s="22"/>
    </row>
    <row r="298" spans="1:4" x14ac:dyDescent="0.3">
      <c r="A298" s="2"/>
      <c r="B298" s="2"/>
      <c r="C298" s="2"/>
      <c r="D298" s="22"/>
    </row>
    <row r="299" spans="1:4" x14ac:dyDescent="0.3">
      <c r="A299" s="2"/>
      <c r="B299" s="2"/>
      <c r="C299" s="2"/>
      <c r="D299" s="22"/>
    </row>
    <row r="300" spans="1:4" x14ac:dyDescent="0.3">
      <c r="A300" s="2"/>
      <c r="B300" s="2"/>
      <c r="C300" s="2"/>
      <c r="D300" s="22"/>
    </row>
    <row r="301" spans="1:4" x14ac:dyDescent="0.3">
      <c r="A301" s="2"/>
      <c r="B301" s="2"/>
      <c r="C301" s="2"/>
      <c r="D301" s="22"/>
    </row>
    <row r="302" spans="1:4" x14ac:dyDescent="0.3">
      <c r="A302" s="2"/>
      <c r="B302" s="2"/>
      <c r="C302" s="2"/>
      <c r="D302" s="22"/>
    </row>
    <row r="303" spans="1:4" x14ac:dyDescent="0.3">
      <c r="A303" s="2"/>
      <c r="B303" s="2"/>
      <c r="C303" s="2"/>
      <c r="D303" s="22"/>
    </row>
    <row r="304" spans="1:4" x14ac:dyDescent="0.3">
      <c r="A304" s="2"/>
      <c r="B304" s="2"/>
      <c r="C304" s="2"/>
      <c r="D304" s="22"/>
    </row>
    <row r="305" spans="1:4" x14ac:dyDescent="0.3">
      <c r="A305" s="2"/>
      <c r="B305" s="2"/>
      <c r="C305" s="2"/>
      <c r="D305" s="22"/>
    </row>
    <row r="306" spans="1:4" x14ac:dyDescent="0.3">
      <c r="A306" s="2"/>
      <c r="B306" s="2"/>
      <c r="C306" s="2"/>
      <c r="D306" s="22"/>
    </row>
    <row r="307" spans="1:4" x14ac:dyDescent="0.3">
      <c r="A307" s="2"/>
      <c r="B307" s="2"/>
      <c r="C307" s="2"/>
      <c r="D307" s="22"/>
    </row>
    <row r="308" spans="1:4" x14ac:dyDescent="0.3">
      <c r="A308" s="2"/>
      <c r="B308" s="2"/>
      <c r="C308" s="2"/>
      <c r="D308" s="22"/>
    </row>
    <row r="309" spans="1:4" x14ac:dyDescent="0.3">
      <c r="A309" s="2"/>
      <c r="B309" s="2"/>
      <c r="C309" s="2"/>
      <c r="D309" s="22"/>
    </row>
    <row r="310" spans="1:4" x14ac:dyDescent="0.3">
      <c r="A310" s="2"/>
      <c r="B310" s="2"/>
      <c r="C310" s="2"/>
      <c r="D310" s="22"/>
    </row>
    <row r="311" spans="1:4" x14ac:dyDescent="0.3">
      <c r="A311" s="2"/>
      <c r="B311" s="2"/>
      <c r="C311" s="2"/>
      <c r="D311" s="22"/>
    </row>
    <row r="312" spans="1:4" x14ac:dyDescent="0.3">
      <c r="A312" s="2"/>
      <c r="B312" s="2"/>
      <c r="C312" s="2"/>
      <c r="D312" s="22"/>
    </row>
    <row r="313" spans="1:4" x14ac:dyDescent="0.3">
      <c r="A313" s="2"/>
      <c r="B313" s="2"/>
      <c r="C313" s="2"/>
      <c r="D313" s="22"/>
    </row>
    <row r="314" spans="1:4" x14ac:dyDescent="0.3">
      <c r="A314" s="2"/>
      <c r="B314" s="2"/>
      <c r="C314" s="2"/>
      <c r="D314" s="22"/>
    </row>
    <row r="315" spans="1:4" x14ac:dyDescent="0.3">
      <c r="A315" s="2"/>
      <c r="B315" s="2"/>
      <c r="C315" s="2"/>
      <c r="D315" s="22"/>
    </row>
    <row r="316" spans="1:4" x14ac:dyDescent="0.3">
      <c r="A316" s="2"/>
      <c r="B316" s="2"/>
      <c r="C316" s="2"/>
      <c r="D316" s="22"/>
    </row>
    <row r="317" spans="1:4" x14ac:dyDescent="0.3">
      <c r="A317" s="2"/>
      <c r="B317" s="2"/>
      <c r="C317" s="2"/>
      <c r="D317" s="22"/>
    </row>
    <row r="318" spans="1:4" x14ac:dyDescent="0.3">
      <c r="A318" s="2"/>
      <c r="B318" s="2"/>
      <c r="C318" s="2"/>
      <c r="D318" s="22"/>
    </row>
    <row r="319" spans="1:4" x14ac:dyDescent="0.3">
      <c r="A319" s="2"/>
      <c r="B319" s="2"/>
      <c r="C319" s="2"/>
      <c r="D319" s="22"/>
    </row>
    <row r="320" spans="1:4" x14ac:dyDescent="0.3">
      <c r="A320" s="2"/>
      <c r="B320" s="2"/>
      <c r="C320" s="2"/>
      <c r="D320" s="22"/>
    </row>
    <row r="321" spans="1:4" x14ac:dyDescent="0.3">
      <c r="A321" s="2"/>
      <c r="B321" s="2"/>
      <c r="C321" s="2"/>
      <c r="D321" s="22"/>
    </row>
    <row r="322" spans="1:4" x14ac:dyDescent="0.3">
      <c r="A322" s="2"/>
      <c r="B322" s="2"/>
      <c r="C322" s="2"/>
      <c r="D322" s="22"/>
    </row>
    <row r="323" spans="1:4" x14ac:dyDescent="0.3">
      <c r="A323" s="2"/>
      <c r="B323" s="2"/>
      <c r="C323" s="2"/>
      <c r="D323" s="22"/>
    </row>
    <row r="324" spans="1:4" x14ac:dyDescent="0.3">
      <c r="A324" s="2"/>
      <c r="B324" s="2"/>
      <c r="C324" s="2"/>
      <c r="D324" s="22"/>
    </row>
    <row r="325" spans="1:4" x14ac:dyDescent="0.3">
      <c r="A325" s="2"/>
      <c r="B325" s="2"/>
      <c r="C325" s="2"/>
      <c r="D325" s="22"/>
    </row>
    <row r="326" spans="1:4" x14ac:dyDescent="0.3">
      <c r="A326" s="2"/>
      <c r="B326" s="2"/>
      <c r="C326" s="2"/>
      <c r="D326" s="22"/>
    </row>
    <row r="327" spans="1:4" x14ac:dyDescent="0.3">
      <c r="A327" s="2"/>
      <c r="B327" s="2"/>
      <c r="C327" s="2"/>
      <c r="D327" s="22"/>
    </row>
    <row r="328" spans="1:4" x14ac:dyDescent="0.3">
      <c r="A328" s="2"/>
      <c r="B328" s="2"/>
      <c r="C328" s="2"/>
      <c r="D328" s="22"/>
    </row>
    <row r="329" spans="1:4" x14ac:dyDescent="0.3">
      <c r="A329" s="2"/>
      <c r="B329" s="2"/>
      <c r="C329" s="2"/>
      <c r="D329" s="22"/>
    </row>
    <row r="330" spans="1:4" x14ac:dyDescent="0.3">
      <c r="A330" s="2"/>
      <c r="B330" s="2"/>
      <c r="C330" s="2"/>
      <c r="D330" s="22"/>
    </row>
    <row r="331" spans="1:4" x14ac:dyDescent="0.3">
      <c r="A331" s="2"/>
      <c r="B331" s="2"/>
      <c r="C331" s="2"/>
      <c r="D331" s="22"/>
    </row>
    <row r="332" spans="1:4" x14ac:dyDescent="0.3">
      <c r="A332" s="2"/>
      <c r="B332" s="2"/>
      <c r="C332" s="2"/>
      <c r="D332" s="22"/>
    </row>
    <row r="333" spans="1:4" x14ac:dyDescent="0.3">
      <c r="A333" s="2"/>
      <c r="B333" s="2"/>
      <c r="C333" s="2"/>
      <c r="D333" s="22"/>
    </row>
    <row r="334" spans="1:4" x14ac:dyDescent="0.3">
      <c r="A334" s="2"/>
      <c r="B334" s="2"/>
      <c r="C334" s="2"/>
      <c r="D334" s="22"/>
    </row>
    <row r="335" spans="1:4" x14ac:dyDescent="0.3">
      <c r="A335" s="2"/>
      <c r="B335" s="2"/>
      <c r="C335" s="2"/>
      <c r="D335" s="22"/>
    </row>
    <row r="336" spans="1:4" x14ac:dyDescent="0.3">
      <c r="A336" s="2"/>
      <c r="B336" s="2"/>
      <c r="C336" s="2"/>
      <c r="D336" s="22"/>
    </row>
    <row r="337" spans="1:4" x14ac:dyDescent="0.3">
      <c r="A337" s="2"/>
      <c r="B337" s="2"/>
      <c r="C337" s="2"/>
      <c r="D337" s="22"/>
    </row>
    <row r="338" spans="1:4" x14ac:dyDescent="0.3">
      <c r="A338" s="2"/>
      <c r="B338" s="2"/>
      <c r="C338" s="2"/>
      <c r="D338" s="22"/>
    </row>
    <row r="339" spans="1:4" x14ac:dyDescent="0.3">
      <c r="A339" s="2"/>
      <c r="B339" s="2"/>
      <c r="C339" s="2"/>
      <c r="D339" s="22"/>
    </row>
    <row r="340" spans="1:4" x14ac:dyDescent="0.3">
      <c r="A340" s="2"/>
      <c r="B340" s="2"/>
      <c r="C340" s="2"/>
      <c r="D340" s="22"/>
    </row>
    <row r="341" spans="1:4" x14ac:dyDescent="0.3">
      <c r="A341" s="2"/>
      <c r="B341" s="2"/>
      <c r="C341" s="2"/>
      <c r="D341" s="22"/>
    </row>
    <row r="342" spans="1:4" x14ac:dyDescent="0.3">
      <c r="A342" s="2"/>
      <c r="B342" s="2"/>
      <c r="C342" s="2"/>
      <c r="D342" s="22"/>
    </row>
    <row r="343" spans="1:4" x14ac:dyDescent="0.3">
      <c r="A343" s="2"/>
      <c r="B343" s="2"/>
      <c r="C343" s="2"/>
      <c r="D343" s="22"/>
    </row>
    <row r="344" spans="1:4" x14ac:dyDescent="0.3">
      <c r="A344" s="2"/>
      <c r="B344" s="2"/>
      <c r="C344" s="2"/>
      <c r="D344" s="22"/>
    </row>
    <row r="345" spans="1:4" x14ac:dyDescent="0.3">
      <c r="A345" s="2"/>
      <c r="B345" s="2"/>
      <c r="C345" s="2"/>
      <c r="D345" s="22"/>
    </row>
    <row r="346" spans="1:4" x14ac:dyDescent="0.3">
      <c r="A346" s="2"/>
      <c r="B346" s="2"/>
      <c r="C346" s="2"/>
      <c r="D346" s="22"/>
    </row>
    <row r="347" spans="1:4" x14ac:dyDescent="0.3">
      <c r="A347" s="2"/>
      <c r="B347" s="2"/>
      <c r="C347" s="2"/>
      <c r="D347" s="22"/>
    </row>
    <row r="348" spans="1:4" x14ac:dyDescent="0.3">
      <c r="A348" s="2"/>
      <c r="B348" s="2"/>
      <c r="C348" s="2"/>
      <c r="D348" s="22"/>
    </row>
    <row r="349" spans="1:4" x14ac:dyDescent="0.3">
      <c r="A349" s="2"/>
      <c r="B349" s="2"/>
      <c r="C349" s="2"/>
      <c r="D349" s="22"/>
    </row>
    <row r="350" spans="1:4" x14ac:dyDescent="0.3">
      <c r="A350" s="2"/>
      <c r="B350" s="2"/>
      <c r="C350" s="2"/>
      <c r="D350" s="22"/>
    </row>
    <row r="351" spans="1:4" x14ac:dyDescent="0.3">
      <c r="A351" s="2"/>
      <c r="B351" s="2"/>
      <c r="C351" s="2"/>
      <c r="D351" s="22"/>
    </row>
    <row r="352" spans="1:4" x14ac:dyDescent="0.3">
      <c r="A352" s="2"/>
      <c r="B352" s="2"/>
      <c r="C352" s="2"/>
      <c r="D352" s="22"/>
    </row>
    <row r="353" spans="1:4" x14ac:dyDescent="0.3">
      <c r="A353" s="2"/>
      <c r="B353" s="2"/>
      <c r="C353" s="2"/>
      <c r="D353" s="22"/>
    </row>
    <row r="354" spans="1:4" x14ac:dyDescent="0.3">
      <c r="A354" s="2"/>
      <c r="B354" s="2"/>
      <c r="C354" s="2"/>
      <c r="D354" s="22"/>
    </row>
    <row r="355" spans="1:4" x14ac:dyDescent="0.3">
      <c r="A355" s="2"/>
      <c r="B355" s="2"/>
      <c r="C355" s="2"/>
      <c r="D355" s="22"/>
    </row>
    <row r="356" spans="1:4" x14ac:dyDescent="0.3">
      <c r="A356" s="2"/>
      <c r="B356" s="2"/>
      <c r="C356" s="2"/>
      <c r="D356" s="22"/>
    </row>
    <row r="357" spans="1:4" x14ac:dyDescent="0.3">
      <c r="A357" s="2"/>
      <c r="B357" s="2"/>
      <c r="C357" s="2"/>
      <c r="D357" s="22"/>
    </row>
    <row r="358" spans="1:4" x14ac:dyDescent="0.3">
      <c r="A358" s="2"/>
      <c r="B358" s="2"/>
      <c r="C358" s="2"/>
      <c r="D358" s="22"/>
    </row>
    <row r="359" spans="1:4" x14ac:dyDescent="0.3">
      <c r="A359" s="2"/>
      <c r="B359" s="2"/>
      <c r="C359" s="2"/>
      <c r="D359" s="22"/>
    </row>
    <row r="360" spans="1:4" x14ac:dyDescent="0.3">
      <c r="A360" s="2"/>
      <c r="B360" s="2"/>
      <c r="C360" s="2"/>
      <c r="D360" s="22"/>
    </row>
    <row r="361" spans="1:4" x14ac:dyDescent="0.3">
      <c r="A361" s="2"/>
      <c r="B361" s="2"/>
      <c r="C361" s="2"/>
      <c r="D361" s="22"/>
    </row>
    <row r="362" spans="1:4" x14ac:dyDescent="0.3">
      <c r="A362" s="2"/>
      <c r="B362" s="2"/>
      <c r="C362" s="2"/>
      <c r="D362" s="22"/>
    </row>
    <row r="363" spans="1:4" x14ac:dyDescent="0.3">
      <c r="A363" s="2"/>
      <c r="B363" s="2"/>
      <c r="C363" s="2"/>
      <c r="D363" s="22"/>
    </row>
    <row r="364" spans="1:4" x14ac:dyDescent="0.3">
      <c r="A364" s="2"/>
      <c r="B364" s="2"/>
      <c r="C364" s="2"/>
      <c r="D364" s="22"/>
    </row>
    <row r="365" spans="1:4" x14ac:dyDescent="0.3">
      <c r="A365" s="2"/>
      <c r="B365" s="2"/>
      <c r="C365" s="2"/>
      <c r="D365" s="22"/>
    </row>
    <row r="366" spans="1:4" x14ac:dyDescent="0.3">
      <c r="A366" s="2"/>
      <c r="B366" s="2"/>
      <c r="C366" s="2"/>
      <c r="D366" s="22"/>
    </row>
    <row r="367" spans="1:4" x14ac:dyDescent="0.3">
      <c r="A367" s="2"/>
      <c r="B367" s="2"/>
      <c r="C367" s="2"/>
      <c r="D367" s="22"/>
    </row>
    <row r="368" spans="1:4" x14ac:dyDescent="0.3">
      <c r="A368" s="2"/>
      <c r="B368" s="2"/>
      <c r="C368" s="2"/>
      <c r="D368" s="22"/>
    </row>
    <row r="369" spans="1:4" x14ac:dyDescent="0.3">
      <c r="A369" s="2"/>
      <c r="B369" s="2"/>
      <c r="C369" s="2"/>
      <c r="D369" s="22"/>
    </row>
    <row r="370" spans="1:4" x14ac:dyDescent="0.3">
      <c r="A370" s="2"/>
      <c r="B370" s="2"/>
      <c r="C370" s="2"/>
      <c r="D370" s="22"/>
    </row>
    <row r="371" spans="1:4" x14ac:dyDescent="0.3">
      <c r="A371" s="2"/>
      <c r="B371" s="2"/>
      <c r="C371" s="2"/>
      <c r="D371" s="22"/>
    </row>
    <row r="372" spans="1:4" x14ac:dyDescent="0.3">
      <c r="A372" s="2"/>
      <c r="B372" s="2"/>
      <c r="C372" s="2"/>
      <c r="D372" s="22"/>
    </row>
    <row r="373" spans="1:4" x14ac:dyDescent="0.3">
      <c r="A373" s="2"/>
      <c r="B373" s="2"/>
      <c r="C373" s="2"/>
      <c r="D373" s="22"/>
    </row>
    <row r="374" spans="1:4" x14ac:dyDescent="0.3">
      <c r="A374" s="2"/>
      <c r="B374" s="2"/>
      <c r="C374" s="2"/>
      <c r="D374" s="22"/>
    </row>
    <row r="375" spans="1:4" x14ac:dyDescent="0.3">
      <c r="A375" s="2"/>
      <c r="B375" s="2"/>
      <c r="C375" s="2"/>
      <c r="D375" s="22"/>
    </row>
    <row r="376" spans="1:4" x14ac:dyDescent="0.3">
      <c r="A376" s="2"/>
      <c r="B376" s="2"/>
      <c r="C376" s="2"/>
      <c r="D376" s="22"/>
    </row>
    <row r="377" spans="1:4" x14ac:dyDescent="0.3">
      <c r="A377" s="2"/>
      <c r="B377" s="2"/>
      <c r="C377" s="2"/>
      <c r="D377" s="22"/>
    </row>
    <row r="378" spans="1:4" x14ac:dyDescent="0.3">
      <c r="A378" s="2"/>
      <c r="B378" s="2"/>
      <c r="C378" s="2"/>
      <c r="D378" s="22"/>
    </row>
    <row r="379" spans="1:4" x14ac:dyDescent="0.3">
      <c r="A379" s="2"/>
      <c r="B379" s="2"/>
      <c r="C379" s="2"/>
      <c r="D379" s="22"/>
    </row>
    <row r="380" spans="1:4" x14ac:dyDescent="0.3">
      <c r="A380" s="2"/>
      <c r="B380" s="2"/>
      <c r="C380" s="2"/>
      <c r="D380" s="22"/>
    </row>
    <row r="381" spans="1:4" x14ac:dyDescent="0.3">
      <c r="A381" s="2"/>
      <c r="B381" s="2"/>
      <c r="C381" s="2"/>
      <c r="D381" s="22"/>
    </row>
    <row r="382" spans="1:4" x14ac:dyDescent="0.3">
      <c r="A382" s="2"/>
      <c r="B382" s="2"/>
      <c r="C382" s="2"/>
      <c r="D382" s="22"/>
    </row>
    <row r="383" spans="1:4" x14ac:dyDescent="0.3">
      <c r="A383" s="2"/>
      <c r="B383" s="2"/>
      <c r="C383" s="2"/>
      <c r="D383" s="22"/>
    </row>
    <row r="384" spans="1:4" x14ac:dyDescent="0.3">
      <c r="A384" s="2"/>
      <c r="B384" s="2"/>
      <c r="C384" s="2"/>
      <c r="D384" s="22"/>
    </row>
    <row r="385" spans="1:4" x14ac:dyDescent="0.3">
      <c r="A385" s="2"/>
      <c r="B385" s="2"/>
      <c r="C385" s="2"/>
      <c r="D385" s="22"/>
    </row>
    <row r="386" spans="1:4" x14ac:dyDescent="0.3">
      <c r="A386" s="2"/>
      <c r="B386" s="2"/>
      <c r="C386" s="2"/>
      <c r="D386" s="22"/>
    </row>
    <row r="387" spans="1:4" x14ac:dyDescent="0.3">
      <c r="A387" s="2"/>
      <c r="B387" s="2"/>
      <c r="C387" s="2"/>
      <c r="D387" s="22"/>
    </row>
    <row r="388" spans="1:4" x14ac:dyDescent="0.3">
      <c r="A388" s="2"/>
      <c r="B388" s="2"/>
      <c r="C388" s="2"/>
      <c r="D388" s="22"/>
    </row>
    <row r="389" spans="1:4" x14ac:dyDescent="0.3">
      <c r="A389" s="2"/>
      <c r="B389" s="2"/>
      <c r="C389" s="2"/>
      <c r="D389" s="22"/>
    </row>
    <row r="390" spans="1:4" x14ac:dyDescent="0.3">
      <c r="A390" s="2"/>
      <c r="B390" s="2"/>
      <c r="C390" s="2"/>
      <c r="D390" s="22"/>
    </row>
    <row r="391" spans="1:4" x14ac:dyDescent="0.3">
      <c r="A391" s="2"/>
      <c r="B391" s="2"/>
      <c r="C391" s="2"/>
      <c r="D391" s="22"/>
    </row>
    <row r="392" spans="1:4" x14ac:dyDescent="0.3">
      <c r="A392" s="2"/>
      <c r="B392" s="2"/>
      <c r="C392" s="2"/>
      <c r="D392" s="22"/>
    </row>
    <row r="393" spans="1:4" x14ac:dyDescent="0.3">
      <c r="A393" s="2"/>
      <c r="B393" s="2"/>
      <c r="C393" s="2"/>
      <c r="D393" s="22"/>
    </row>
    <row r="394" spans="1:4" x14ac:dyDescent="0.3">
      <c r="A394" s="2"/>
      <c r="B394" s="2"/>
      <c r="C394" s="2"/>
      <c r="D394" s="22"/>
    </row>
    <row r="395" spans="1:4" x14ac:dyDescent="0.3">
      <c r="A395" s="2"/>
      <c r="B395" s="2"/>
      <c r="C395" s="2"/>
      <c r="D395" s="22"/>
    </row>
    <row r="396" spans="1:4" x14ac:dyDescent="0.3">
      <c r="A396" s="2"/>
      <c r="B396" s="2"/>
      <c r="C396" s="2"/>
      <c r="D396" s="22"/>
    </row>
    <row r="397" spans="1:4" x14ac:dyDescent="0.3">
      <c r="A397" s="2"/>
      <c r="B397" s="2"/>
      <c r="C397" s="2"/>
      <c r="D397" s="22"/>
    </row>
    <row r="398" spans="1:4" x14ac:dyDescent="0.3">
      <c r="A398" s="2"/>
      <c r="B398" s="2"/>
      <c r="C398" s="2"/>
      <c r="D398" s="22"/>
    </row>
    <row r="399" spans="1:4" x14ac:dyDescent="0.3">
      <c r="A399" s="2"/>
      <c r="B399" s="2"/>
      <c r="C399" s="2"/>
      <c r="D399" s="22"/>
    </row>
    <row r="400" spans="1:4" x14ac:dyDescent="0.3">
      <c r="A400" s="2"/>
      <c r="B400" s="2"/>
      <c r="C400" s="2"/>
      <c r="D400" s="22"/>
    </row>
    <row r="401" spans="1:4" x14ac:dyDescent="0.3">
      <c r="A401" s="2"/>
      <c r="B401" s="2"/>
      <c r="C401" s="2"/>
      <c r="D401" s="22"/>
    </row>
    <row r="402" spans="1:4" x14ac:dyDescent="0.3">
      <c r="A402" s="2"/>
      <c r="B402" s="2"/>
      <c r="C402" s="2"/>
      <c r="D402" s="22"/>
    </row>
    <row r="403" spans="1:4" x14ac:dyDescent="0.3">
      <c r="A403" s="2"/>
      <c r="B403" s="2"/>
      <c r="C403" s="2"/>
      <c r="D403" s="22"/>
    </row>
    <row r="404" spans="1:4" x14ac:dyDescent="0.3">
      <c r="A404" s="2"/>
      <c r="B404" s="2"/>
      <c r="C404" s="2"/>
      <c r="D404" s="22"/>
    </row>
    <row r="405" spans="1:4" x14ac:dyDescent="0.3">
      <c r="A405" s="2"/>
      <c r="B405" s="2"/>
      <c r="C405" s="2"/>
      <c r="D405" s="22"/>
    </row>
    <row r="406" spans="1:4" x14ac:dyDescent="0.3">
      <c r="A406" s="2"/>
      <c r="B406" s="2"/>
      <c r="C406" s="2"/>
      <c r="D406" s="22"/>
    </row>
    <row r="407" spans="1:4" x14ac:dyDescent="0.3">
      <c r="A407" s="2"/>
      <c r="B407" s="2"/>
      <c r="C407" s="2"/>
      <c r="D407" s="22"/>
    </row>
    <row r="408" spans="1:4" x14ac:dyDescent="0.3">
      <c r="A408" s="2"/>
      <c r="B408" s="2"/>
      <c r="C408" s="2"/>
      <c r="D408" s="22"/>
    </row>
    <row r="409" spans="1:4" x14ac:dyDescent="0.3">
      <c r="A409" s="2"/>
      <c r="B409" s="2"/>
      <c r="C409" s="2"/>
      <c r="D409" s="22"/>
    </row>
    <row r="410" spans="1:4" x14ac:dyDescent="0.3">
      <c r="A410" s="2"/>
      <c r="B410" s="2"/>
      <c r="C410" s="2"/>
      <c r="D410" s="22"/>
    </row>
    <row r="411" spans="1:4" x14ac:dyDescent="0.3">
      <c r="A411" s="2"/>
      <c r="B411" s="2"/>
      <c r="C411" s="2"/>
      <c r="D411" s="22"/>
    </row>
    <row r="412" spans="1:4" x14ac:dyDescent="0.3">
      <c r="A412" s="2"/>
      <c r="B412" s="2"/>
      <c r="C412" s="2"/>
      <c r="D412" s="22"/>
    </row>
    <row r="413" spans="1:4" x14ac:dyDescent="0.3">
      <c r="A413" s="2"/>
      <c r="B413" s="2"/>
      <c r="C413" s="2"/>
      <c r="D413" s="22"/>
    </row>
    <row r="414" spans="1:4" x14ac:dyDescent="0.3">
      <c r="A414" s="2"/>
      <c r="B414" s="2"/>
      <c r="C414" s="2"/>
      <c r="D414" s="22"/>
    </row>
    <row r="415" spans="1:4" x14ac:dyDescent="0.3">
      <c r="A415" s="2"/>
      <c r="B415" s="2"/>
      <c r="C415" s="2"/>
      <c r="D415" s="22"/>
    </row>
    <row r="416" spans="1:4" x14ac:dyDescent="0.3">
      <c r="A416" s="2"/>
      <c r="B416" s="2"/>
      <c r="C416" s="2"/>
      <c r="D416" s="22"/>
    </row>
    <row r="417" spans="1:4" x14ac:dyDescent="0.3">
      <c r="A417" s="2"/>
      <c r="B417" s="2"/>
      <c r="C417" s="2"/>
      <c r="D417" s="22"/>
    </row>
    <row r="418" spans="1:4" x14ac:dyDescent="0.3">
      <c r="A418" s="2"/>
      <c r="B418" s="2"/>
      <c r="C418" s="2"/>
      <c r="D418" s="22"/>
    </row>
    <row r="419" spans="1:4" x14ac:dyDescent="0.3">
      <c r="A419" s="2"/>
      <c r="B419" s="2"/>
      <c r="C419" s="2"/>
      <c r="D419" s="22"/>
    </row>
    <row r="420" spans="1:4" x14ac:dyDescent="0.3">
      <c r="A420" s="2"/>
      <c r="B420" s="2"/>
      <c r="C420" s="2"/>
      <c r="D420" s="22"/>
    </row>
    <row r="421" spans="1:4" x14ac:dyDescent="0.3">
      <c r="A421" s="2"/>
      <c r="B421" s="2"/>
      <c r="C421" s="2"/>
      <c r="D421" s="22"/>
    </row>
    <row r="422" spans="1:4" x14ac:dyDescent="0.3">
      <c r="A422" s="2"/>
      <c r="B422" s="2"/>
      <c r="C422" s="2"/>
      <c r="D422" s="22"/>
    </row>
    <row r="423" spans="1:4" x14ac:dyDescent="0.3">
      <c r="A423" s="2"/>
      <c r="B423" s="2"/>
      <c r="C423" s="2"/>
      <c r="D423" s="22"/>
    </row>
    <row r="424" spans="1:4" x14ac:dyDescent="0.3">
      <c r="A424" s="2"/>
      <c r="B424" s="2"/>
      <c r="C424" s="2"/>
      <c r="D424" s="22"/>
    </row>
    <row r="425" spans="1:4" x14ac:dyDescent="0.3">
      <c r="A425" s="2"/>
      <c r="B425" s="2"/>
      <c r="C425" s="2"/>
      <c r="D425" s="22"/>
    </row>
    <row r="426" spans="1:4" x14ac:dyDescent="0.3">
      <c r="A426" s="2"/>
      <c r="B426" s="2"/>
      <c r="C426" s="2"/>
      <c r="D426" s="22"/>
    </row>
    <row r="427" spans="1:4" x14ac:dyDescent="0.3">
      <c r="A427" s="2"/>
      <c r="B427" s="2"/>
      <c r="C427" s="2"/>
      <c r="D427" s="22"/>
    </row>
    <row r="428" spans="1:4" x14ac:dyDescent="0.3">
      <c r="A428" s="2"/>
      <c r="B428" s="2"/>
      <c r="C428" s="2"/>
      <c r="D428" s="22"/>
    </row>
    <row r="429" spans="1:4" x14ac:dyDescent="0.3">
      <c r="A429" s="2"/>
      <c r="B429" s="2"/>
      <c r="C429" s="2"/>
      <c r="D429" s="22"/>
    </row>
    <row r="430" spans="1:4" x14ac:dyDescent="0.3">
      <c r="A430" s="2"/>
      <c r="B430" s="2"/>
      <c r="C430" s="2"/>
      <c r="D430" s="22"/>
    </row>
    <row r="431" spans="1:4" x14ac:dyDescent="0.3">
      <c r="A431" s="2"/>
      <c r="B431" s="2"/>
      <c r="C431" s="2"/>
      <c r="D431" s="22"/>
    </row>
    <row r="432" spans="1:4" x14ac:dyDescent="0.3">
      <c r="A432" s="2"/>
      <c r="B432" s="2"/>
      <c r="C432" s="2"/>
      <c r="D432" s="22"/>
    </row>
    <row r="433" spans="1:4" x14ac:dyDescent="0.3">
      <c r="A433" s="2"/>
      <c r="B433" s="2"/>
      <c r="C433" s="2"/>
      <c r="D433" s="22"/>
    </row>
    <row r="434" spans="1:4" x14ac:dyDescent="0.3">
      <c r="A434" s="2"/>
      <c r="B434" s="2"/>
      <c r="C434" s="2"/>
      <c r="D434" s="22"/>
    </row>
    <row r="435" spans="1:4" x14ac:dyDescent="0.3">
      <c r="A435" s="2"/>
      <c r="B435" s="2"/>
      <c r="C435" s="2"/>
      <c r="D435" s="22"/>
    </row>
    <row r="436" spans="1:4" x14ac:dyDescent="0.3">
      <c r="A436" s="2"/>
      <c r="B436" s="2"/>
      <c r="C436" s="2"/>
      <c r="D436" s="22"/>
    </row>
    <row r="437" spans="1:4" x14ac:dyDescent="0.3">
      <c r="A437" s="2"/>
      <c r="B437" s="2"/>
      <c r="C437" s="2"/>
      <c r="D437" s="22"/>
    </row>
    <row r="438" spans="1:4" x14ac:dyDescent="0.3">
      <c r="A438" s="2"/>
      <c r="B438" s="2"/>
      <c r="C438" s="2"/>
      <c r="D438" s="22"/>
    </row>
    <row r="439" spans="1:4" x14ac:dyDescent="0.3">
      <c r="A439" s="2"/>
      <c r="B439" s="2"/>
      <c r="C439" s="2"/>
      <c r="D439" s="22"/>
    </row>
    <row r="440" spans="1:4" x14ac:dyDescent="0.3">
      <c r="A440" s="2"/>
      <c r="B440" s="2"/>
      <c r="C440" s="2"/>
      <c r="D440" s="22"/>
    </row>
    <row r="441" spans="1:4" x14ac:dyDescent="0.3">
      <c r="A441" s="2"/>
      <c r="B441" s="2"/>
      <c r="C441" s="2"/>
      <c r="D441" s="22"/>
    </row>
    <row r="442" spans="1:4" x14ac:dyDescent="0.3">
      <c r="A442" s="2"/>
      <c r="B442" s="2"/>
      <c r="C442" s="2"/>
      <c r="D442" s="22"/>
    </row>
    <row r="443" spans="1:4" x14ac:dyDescent="0.3">
      <c r="A443" s="2"/>
      <c r="B443" s="2"/>
      <c r="C443" s="2"/>
      <c r="D443" s="22"/>
    </row>
    <row r="444" spans="1:4" x14ac:dyDescent="0.3">
      <c r="A444" s="2"/>
      <c r="B444" s="2"/>
      <c r="C444" s="2"/>
      <c r="D444" s="22"/>
    </row>
    <row r="445" spans="1:4" x14ac:dyDescent="0.3">
      <c r="A445" s="2"/>
      <c r="B445" s="2"/>
      <c r="C445" s="2"/>
      <c r="D445" s="22"/>
    </row>
    <row r="446" spans="1:4" x14ac:dyDescent="0.3">
      <c r="A446" s="2"/>
      <c r="B446" s="2"/>
      <c r="C446" s="2"/>
      <c r="D446" s="22"/>
    </row>
    <row r="447" spans="1:4" x14ac:dyDescent="0.3">
      <c r="A447" s="2"/>
      <c r="B447" s="2"/>
      <c r="C447" s="2"/>
      <c r="D447" s="22"/>
    </row>
    <row r="448" spans="1:4" x14ac:dyDescent="0.3">
      <c r="A448" s="2"/>
      <c r="B448" s="2"/>
      <c r="C448" s="2"/>
      <c r="D448" s="22"/>
    </row>
    <row r="449" spans="1:4" x14ac:dyDescent="0.3">
      <c r="A449" s="2"/>
      <c r="B449" s="2"/>
      <c r="C449" s="2"/>
      <c r="D449" s="22"/>
    </row>
    <row r="450" spans="1:4" x14ac:dyDescent="0.3">
      <c r="A450" s="2"/>
      <c r="B450" s="2"/>
      <c r="C450" s="2"/>
      <c r="D450" s="22"/>
    </row>
    <row r="451" spans="1:4" x14ac:dyDescent="0.3">
      <c r="A451" s="2"/>
      <c r="B451" s="2"/>
      <c r="C451" s="2"/>
      <c r="D451" s="22"/>
    </row>
    <row r="452" spans="1:4" x14ac:dyDescent="0.3">
      <c r="A452" s="2"/>
      <c r="B452" s="2"/>
      <c r="C452" s="2"/>
      <c r="D452" s="22"/>
    </row>
    <row r="453" spans="1:4" x14ac:dyDescent="0.3">
      <c r="A453" s="2"/>
      <c r="B453" s="2"/>
      <c r="C453" s="2"/>
      <c r="D453" s="22"/>
    </row>
    <row r="454" spans="1:4" x14ac:dyDescent="0.3">
      <c r="A454" s="2"/>
      <c r="B454" s="2"/>
      <c r="C454" s="2"/>
      <c r="D454" s="22"/>
    </row>
    <row r="455" spans="1:4" x14ac:dyDescent="0.3">
      <c r="A455" s="2"/>
      <c r="B455" s="2"/>
      <c r="C455" s="2"/>
      <c r="D455" s="22"/>
    </row>
    <row r="456" spans="1:4" x14ac:dyDescent="0.3">
      <c r="A456" s="2"/>
      <c r="B456" s="2"/>
      <c r="C456" s="2"/>
      <c r="D456" s="22"/>
    </row>
    <row r="457" spans="1:4" x14ac:dyDescent="0.3">
      <c r="A457" s="2"/>
      <c r="B457" s="2"/>
      <c r="C457" s="2"/>
      <c r="D457" s="22"/>
    </row>
    <row r="458" spans="1:4" x14ac:dyDescent="0.3">
      <c r="A458" s="2"/>
      <c r="B458" s="2"/>
      <c r="C458" s="2"/>
      <c r="D458" s="22"/>
    </row>
    <row r="459" spans="1:4" x14ac:dyDescent="0.3">
      <c r="A459" s="2"/>
      <c r="B459" s="2"/>
      <c r="C459" s="2"/>
      <c r="D459" s="22"/>
    </row>
    <row r="460" spans="1:4" x14ac:dyDescent="0.3">
      <c r="A460" s="2"/>
      <c r="B460" s="2"/>
      <c r="C460" s="2"/>
      <c r="D460" s="22"/>
    </row>
    <row r="461" spans="1:4" x14ac:dyDescent="0.3">
      <c r="A461" s="2"/>
      <c r="B461" s="2"/>
      <c r="C461" s="2"/>
      <c r="D461" s="22"/>
    </row>
    <row r="462" spans="1:4" x14ac:dyDescent="0.3">
      <c r="A462" s="2"/>
      <c r="B462" s="2"/>
      <c r="C462" s="2"/>
      <c r="D462" s="22"/>
    </row>
    <row r="463" spans="1:4" x14ac:dyDescent="0.3">
      <c r="A463" s="2"/>
      <c r="B463" s="2"/>
      <c r="C463" s="2"/>
      <c r="D463" s="22"/>
    </row>
    <row r="464" spans="1:4" x14ac:dyDescent="0.3">
      <c r="A464" s="2"/>
      <c r="B464" s="2"/>
      <c r="C464" s="2"/>
      <c r="D464" s="22"/>
    </row>
    <row r="465" spans="1:4" x14ac:dyDescent="0.3">
      <c r="A465" s="2"/>
      <c r="B465" s="2"/>
      <c r="C465" s="2"/>
      <c r="D465" s="22"/>
    </row>
    <row r="466" spans="1:4" x14ac:dyDescent="0.3">
      <c r="A466" s="2"/>
      <c r="B466" s="2"/>
      <c r="C466" s="2"/>
      <c r="D466" s="22"/>
    </row>
    <row r="467" spans="1:4" x14ac:dyDescent="0.3">
      <c r="A467" s="2"/>
      <c r="B467" s="2"/>
      <c r="C467" s="2"/>
      <c r="D467" s="22"/>
    </row>
    <row r="468" spans="1:4" x14ac:dyDescent="0.3">
      <c r="A468" s="2"/>
      <c r="B468" s="2"/>
      <c r="C468" s="2"/>
      <c r="D468" s="22"/>
    </row>
    <row r="469" spans="1:4" x14ac:dyDescent="0.3">
      <c r="A469" s="2"/>
      <c r="B469" s="2"/>
      <c r="C469" s="2"/>
      <c r="D469" s="22"/>
    </row>
    <row r="470" spans="1:4" x14ac:dyDescent="0.3">
      <c r="A470" s="2"/>
      <c r="B470" s="2"/>
      <c r="C470" s="2"/>
      <c r="D470" s="22"/>
    </row>
    <row r="471" spans="1:4" x14ac:dyDescent="0.3">
      <c r="A471" s="2"/>
      <c r="B471" s="2"/>
      <c r="C471" s="2"/>
      <c r="D471" s="22"/>
    </row>
    <row r="472" spans="1:4" x14ac:dyDescent="0.3">
      <c r="A472" s="2"/>
      <c r="B472" s="2"/>
      <c r="C472" s="2"/>
      <c r="D472" s="22"/>
    </row>
    <row r="473" spans="1:4" x14ac:dyDescent="0.3">
      <c r="A473" s="2"/>
      <c r="B473" s="2"/>
      <c r="C473" s="2"/>
      <c r="D473" s="22"/>
    </row>
    <row r="474" spans="1:4" x14ac:dyDescent="0.3">
      <c r="A474" s="2"/>
      <c r="B474" s="2"/>
      <c r="C474" s="2"/>
      <c r="D474" s="22"/>
    </row>
    <row r="475" spans="1:4" x14ac:dyDescent="0.3">
      <c r="A475" s="2"/>
      <c r="B475" s="2"/>
      <c r="C475" s="2"/>
      <c r="D475" s="22"/>
    </row>
    <row r="476" spans="1:4" x14ac:dyDescent="0.3">
      <c r="A476" s="2"/>
      <c r="B476" s="2"/>
      <c r="C476" s="2"/>
      <c r="D476" s="22"/>
    </row>
    <row r="477" spans="1:4" x14ac:dyDescent="0.3">
      <c r="A477" s="2"/>
      <c r="B477" s="2"/>
      <c r="C477" s="2"/>
      <c r="D477" s="22"/>
    </row>
    <row r="478" spans="1:4" x14ac:dyDescent="0.3">
      <c r="A478" s="2"/>
      <c r="B478" s="2"/>
      <c r="C478" s="2"/>
      <c r="D478" s="22"/>
    </row>
    <row r="479" spans="1:4" x14ac:dyDescent="0.3">
      <c r="A479" s="2"/>
      <c r="B479" s="2"/>
      <c r="C479" s="2"/>
      <c r="D479" s="22"/>
    </row>
    <row r="480" spans="1:4" x14ac:dyDescent="0.3">
      <c r="A480" s="2"/>
      <c r="B480" s="2"/>
      <c r="C480" s="2"/>
      <c r="D480" s="22"/>
    </row>
    <row r="481" spans="1:4" x14ac:dyDescent="0.3">
      <c r="A481" s="2"/>
      <c r="B481" s="2"/>
      <c r="C481" s="2"/>
      <c r="D481" s="22"/>
    </row>
    <row r="482" spans="1:4" x14ac:dyDescent="0.3">
      <c r="A482" s="2"/>
      <c r="B482" s="2"/>
      <c r="C482" s="2"/>
      <c r="D482" s="22"/>
    </row>
    <row r="483" spans="1:4" x14ac:dyDescent="0.3">
      <c r="A483" s="2"/>
      <c r="B483" s="2"/>
      <c r="C483" s="2"/>
      <c r="D483" s="22"/>
    </row>
    <row r="484" spans="1:4" x14ac:dyDescent="0.3">
      <c r="A484" s="2"/>
      <c r="B484" s="2"/>
      <c r="C484" s="2"/>
      <c r="D484" s="22"/>
    </row>
    <row r="485" spans="1:4" x14ac:dyDescent="0.3">
      <c r="A485" s="2"/>
      <c r="B485" s="2"/>
      <c r="C485" s="2"/>
      <c r="D485" s="22"/>
    </row>
    <row r="486" spans="1:4" x14ac:dyDescent="0.3">
      <c r="A486" s="2"/>
      <c r="B486" s="2"/>
      <c r="C486" s="2"/>
      <c r="D486" s="22"/>
    </row>
    <row r="487" spans="1:4" x14ac:dyDescent="0.3">
      <c r="A487" s="2"/>
      <c r="B487" s="2"/>
      <c r="C487" s="2"/>
      <c r="D487" s="22"/>
    </row>
    <row r="488" spans="1:4" x14ac:dyDescent="0.3">
      <c r="A488" s="2"/>
      <c r="B488" s="2"/>
      <c r="C488" s="2"/>
      <c r="D488" s="22"/>
    </row>
    <row r="489" spans="1:4" x14ac:dyDescent="0.3">
      <c r="A489" s="2"/>
      <c r="B489" s="2"/>
      <c r="C489" s="2"/>
      <c r="D489" s="22"/>
    </row>
    <row r="490" spans="1:4" x14ac:dyDescent="0.3">
      <c r="A490" s="2"/>
      <c r="B490" s="2"/>
      <c r="C490" s="2"/>
      <c r="D490" s="22"/>
    </row>
    <row r="491" spans="1:4" x14ac:dyDescent="0.3">
      <c r="A491" s="2"/>
      <c r="B491" s="2"/>
      <c r="C491" s="2"/>
      <c r="D491" s="22"/>
    </row>
    <row r="492" spans="1:4" x14ac:dyDescent="0.3">
      <c r="A492" s="2"/>
      <c r="B492" s="2"/>
      <c r="C492" s="2"/>
      <c r="D492" s="22"/>
    </row>
    <row r="493" spans="1:4" x14ac:dyDescent="0.3">
      <c r="A493" s="2"/>
      <c r="B493" s="2"/>
      <c r="C493" s="2"/>
      <c r="D493" s="22"/>
    </row>
    <row r="494" spans="1:4" x14ac:dyDescent="0.3">
      <c r="A494" s="2"/>
      <c r="B494" s="2"/>
      <c r="C494" s="2"/>
      <c r="D494" s="22"/>
    </row>
    <row r="495" spans="1:4" x14ac:dyDescent="0.3">
      <c r="A495" s="2"/>
      <c r="B495" s="2"/>
      <c r="C495" s="2"/>
      <c r="D495" s="22"/>
    </row>
    <row r="496" spans="1:4" x14ac:dyDescent="0.3">
      <c r="A496" s="2"/>
      <c r="B496" s="2"/>
      <c r="C496" s="2"/>
      <c r="D496" s="22"/>
    </row>
    <row r="497" spans="1:4" x14ac:dyDescent="0.3">
      <c r="A497" s="2"/>
      <c r="B497" s="2"/>
      <c r="C497" s="2"/>
      <c r="D497" s="22"/>
    </row>
    <row r="498" spans="1:4" x14ac:dyDescent="0.3">
      <c r="A498" s="2"/>
      <c r="B498" s="2"/>
      <c r="C498" s="2"/>
      <c r="D498" s="22"/>
    </row>
    <row r="499" spans="1:4" x14ac:dyDescent="0.3">
      <c r="A499" s="2"/>
      <c r="B499" s="2"/>
      <c r="C499" s="2"/>
      <c r="D499" s="22"/>
    </row>
    <row r="500" spans="1:4" x14ac:dyDescent="0.3">
      <c r="A500" s="2"/>
      <c r="B500" s="2"/>
      <c r="C500" s="2"/>
      <c r="D500" s="22"/>
    </row>
    <row r="501" spans="1:4" x14ac:dyDescent="0.3">
      <c r="A501" s="2"/>
      <c r="B501" s="2"/>
      <c r="C501" s="2"/>
      <c r="D501" s="22"/>
    </row>
    <row r="502" spans="1:4" x14ac:dyDescent="0.3">
      <c r="A502" s="2"/>
      <c r="B502" s="2"/>
      <c r="C502" s="2"/>
      <c r="D502" s="22"/>
    </row>
    <row r="503" spans="1:4" x14ac:dyDescent="0.3">
      <c r="A503" s="2"/>
      <c r="B503" s="2"/>
      <c r="C503" s="2"/>
      <c r="D503" s="22"/>
    </row>
    <row r="504" spans="1:4" x14ac:dyDescent="0.3">
      <c r="A504" s="2"/>
      <c r="B504" s="2"/>
      <c r="C504" s="2"/>
      <c r="D504" s="22"/>
    </row>
    <row r="505" spans="1:4" x14ac:dyDescent="0.3">
      <c r="A505" s="2"/>
      <c r="B505" s="2"/>
      <c r="C505" s="2"/>
      <c r="D505" s="22"/>
    </row>
    <row r="506" spans="1:4" x14ac:dyDescent="0.3">
      <c r="A506" s="2"/>
      <c r="B506" s="2"/>
      <c r="C506" s="2"/>
      <c r="D506" s="22"/>
    </row>
    <row r="507" spans="1:4" x14ac:dyDescent="0.3">
      <c r="A507" s="2"/>
      <c r="B507" s="2"/>
      <c r="C507" s="2"/>
      <c r="D507" s="22"/>
    </row>
    <row r="508" spans="1:4" x14ac:dyDescent="0.3">
      <c r="A508" s="2"/>
      <c r="B508" s="2"/>
      <c r="C508" s="2"/>
      <c r="D508" s="22"/>
    </row>
    <row r="509" spans="1:4" x14ac:dyDescent="0.3">
      <c r="A509" s="2"/>
      <c r="B509" s="2"/>
      <c r="C509" s="2"/>
      <c r="D509" s="22"/>
    </row>
    <row r="510" spans="1:4" x14ac:dyDescent="0.3">
      <c r="A510" s="2"/>
      <c r="B510" s="2"/>
      <c r="C510" s="2"/>
      <c r="D510" s="22"/>
    </row>
    <row r="511" spans="1:4" x14ac:dyDescent="0.3">
      <c r="A511" s="2"/>
      <c r="B511" s="2"/>
      <c r="C511" s="2"/>
      <c r="D511" s="22"/>
    </row>
    <row r="512" spans="1:4" x14ac:dyDescent="0.3">
      <c r="A512" s="2"/>
      <c r="B512" s="2"/>
      <c r="C512" s="2"/>
      <c r="D512" s="22"/>
    </row>
    <row r="513" spans="1:4" x14ac:dyDescent="0.3">
      <c r="A513" s="2"/>
      <c r="B513" s="2"/>
      <c r="C513" s="2"/>
      <c r="D513" s="22"/>
    </row>
    <row r="514" spans="1:4" x14ac:dyDescent="0.3">
      <c r="A514" s="2"/>
      <c r="B514" s="2"/>
      <c r="C514" s="2"/>
      <c r="D514" s="22"/>
    </row>
    <row r="515" spans="1:4" x14ac:dyDescent="0.3">
      <c r="A515" s="2"/>
      <c r="B515" s="2"/>
      <c r="C515" s="2"/>
      <c r="D515" s="22"/>
    </row>
    <row r="516" spans="1:4" x14ac:dyDescent="0.3">
      <c r="A516" s="2"/>
      <c r="B516" s="2"/>
      <c r="C516" s="2"/>
      <c r="D516" s="22"/>
    </row>
    <row r="517" spans="1:4" x14ac:dyDescent="0.3">
      <c r="A517" s="2"/>
      <c r="B517" s="2"/>
      <c r="C517" s="2"/>
      <c r="D517" s="22"/>
    </row>
    <row r="518" spans="1:4" x14ac:dyDescent="0.3">
      <c r="A518" s="2"/>
      <c r="B518" s="2"/>
      <c r="C518" s="2"/>
      <c r="D518" s="22"/>
    </row>
    <row r="519" spans="1:4" x14ac:dyDescent="0.3">
      <c r="A519" s="2"/>
      <c r="B519" s="2"/>
      <c r="C519" s="2"/>
      <c r="D519" s="22"/>
    </row>
    <row r="520" spans="1:4" x14ac:dyDescent="0.3">
      <c r="A520" s="2"/>
      <c r="B520" s="2"/>
      <c r="C520" s="2"/>
      <c r="D520" s="22"/>
    </row>
    <row r="521" spans="1:4" x14ac:dyDescent="0.3">
      <c r="A521" s="2"/>
      <c r="B521" s="2"/>
      <c r="C521" s="2"/>
      <c r="D521" s="22"/>
    </row>
    <row r="522" spans="1:4" x14ac:dyDescent="0.3">
      <c r="A522" s="2"/>
      <c r="B522" s="2"/>
      <c r="C522" s="2"/>
      <c r="D522" s="22"/>
    </row>
    <row r="523" spans="1:4" x14ac:dyDescent="0.3">
      <c r="A523" s="2"/>
      <c r="B523" s="2"/>
      <c r="C523" s="2"/>
      <c r="D523" s="22"/>
    </row>
    <row r="524" spans="1:4" x14ac:dyDescent="0.3">
      <c r="A524" s="2"/>
      <c r="B524" s="2"/>
      <c r="C524" s="2"/>
      <c r="D524" s="22"/>
    </row>
    <row r="525" spans="1:4" x14ac:dyDescent="0.3">
      <c r="A525" s="2"/>
      <c r="B525" s="2"/>
      <c r="C525" s="2"/>
      <c r="D525" s="22"/>
    </row>
    <row r="526" spans="1:4" x14ac:dyDescent="0.3">
      <c r="A526" s="2"/>
      <c r="B526" s="2"/>
      <c r="C526" s="2"/>
      <c r="D526" s="22"/>
    </row>
    <row r="527" spans="1:4" x14ac:dyDescent="0.3">
      <c r="A527" s="2"/>
      <c r="B527" s="2"/>
      <c r="C527" s="2"/>
      <c r="D527" s="22"/>
    </row>
    <row r="528" spans="1:4" x14ac:dyDescent="0.3">
      <c r="A528" s="2"/>
      <c r="B528" s="2"/>
      <c r="C528" s="2"/>
      <c r="D528" s="22"/>
    </row>
    <row r="529" spans="1:4" x14ac:dyDescent="0.3">
      <c r="A529" s="2"/>
      <c r="B529" s="2"/>
      <c r="C529" s="2"/>
      <c r="D529" s="22"/>
    </row>
    <row r="530" spans="1:4" x14ac:dyDescent="0.3">
      <c r="A530" s="2"/>
      <c r="B530" s="2"/>
      <c r="C530" s="2"/>
      <c r="D530" s="22"/>
    </row>
    <row r="531" spans="1:4" x14ac:dyDescent="0.3">
      <c r="A531" s="2"/>
      <c r="B531" s="2"/>
      <c r="C531" s="2"/>
      <c r="D531" s="22"/>
    </row>
    <row r="532" spans="1:4" x14ac:dyDescent="0.3">
      <c r="A532" s="2"/>
      <c r="B532" s="2"/>
      <c r="C532" s="2"/>
      <c r="D532" s="22"/>
    </row>
    <row r="533" spans="1:4" x14ac:dyDescent="0.3">
      <c r="A533" s="2"/>
      <c r="B533" s="2"/>
      <c r="C533" s="2"/>
      <c r="D533" s="22"/>
    </row>
    <row r="534" spans="1:4" x14ac:dyDescent="0.3">
      <c r="A534" s="2"/>
      <c r="B534" s="2"/>
      <c r="C534" s="2"/>
      <c r="D534" s="22"/>
    </row>
    <row r="535" spans="1:4" x14ac:dyDescent="0.3">
      <c r="A535" s="2"/>
      <c r="B535" s="2"/>
      <c r="C535" s="2"/>
      <c r="D535" s="22"/>
    </row>
    <row r="536" spans="1:4" x14ac:dyDescent="0.3">
      <c r="A536" s="2"/>
      <c r="B536" s="2"/>
      <c r="C536" s="2"/>
      <c r="D536" s="22"/>
    </row>
    <row r="537" spans="1:4" x14ac:dyDescent="0.3">
      <c r="A537" s="2"/>
      <c r="B537" s="2"/>
      <c r="C537" s="2"/>
      <c r="D537" s="22"/>
    </row>
    <row r="538" spans="1:4" x14ac:dyDescent="0.3">
      <c r="A538" s="2"/>
      <c r="B538" s="2"/>
      <c r="C538" s="2"/>
      <c r="D538" s="22"/>
    </row>
    <row r="539" spans="1:4" x14ac:dyDescent="0.3">
      <c r="A539" s="2"/>
      <c r="B539" s="2"/>
      <c r="C539" s="2"/>
      <c r="D539" s="22"/>
    </row>
    <row r="540" spans="1:4" x14ac:dyDescent="0.3">
      <c r="A540" s="2"/>
      <c r="B540" s="2"/>
      <c r="C540" s="2"/>
      <c r="D540" s="22"/>
    </row>
    <row r="541" spans="1:4" x14ac:dyDescent="0.3">
      <c r="A541" s="2"/>
      <c r="B541" s="2"/>
      <c r="C541" s="2"/>
      <c r="D541" s="22"/>
    </row>
    <row r="542" spans="1:4" x14ac:dyDescent="0.3">
      <c r="A542" s="2"/>
      <c r="B542" s="2"/>
      <c r="C542" s="2"/>
      <c r="D542" s="22"/>
    </row>
    <row r="543" spans="1:4" x14ac:dyDescent="0.3">
      <c r="A543" s="2"/>
      <c r="B543" s="2"/>
      <c r="C543" s="2"/>
      <c r="D543" s="22"/>
    </row>
    <row r="544" spans="1:4" x14ac:dyDescent="0.3">
      <c r="A544" s="2"/>
      <c r="B544" s="2"/>
      <c r="C544" s="2"/>
      <c r="D544" s="22"/>
    </row>
    <row r="545" spans="1:4" x14ac:dyDescent="0.3">
      <c r="A545" s="2"/>
      <c r="B545" s="2"/>
      <c r="C545" s="2"/>
      <c r="D545" s="22"/>
    </row>
    <row r="546" spans="1:4" x14ac:dyDescent="0.3">
      <c r="A546" s="2"/>
      <c r="B546" s="2"/>
      <c r="C546" s="2"/>
      <c r="D546" s="22"/>
    </row>
    <row r="547" spans="1:4" x14ac:dyDescent="0.3">
      <c r="A547" s="2"/>
      <c r="B547" s="2"/>
      <c r="C547" s="2"/>
      <c r="D547" s="22"/>
    </row>
    <row r="548" spans="1:4" x14ac:dyDescent="0.3">
      <c r="A548" s="2"/>
      <c r="B548" s="2"/>
      <c r="C548" s="2"/>
      <c r="D548" s="22"/>
    </row>
    <row r="549" spans="1:4" x14ac:dyDescent="0.3">
      <c r="A549" s="2"/>
      <c r="B549" s="2"/>
      <c r="C549" s="2"/>
      <c r="D549" s="22"/>
    </row>
    <row r="550" spans="1:4" x14ac:dyDescent="0.3">
      <c r="A550" s="2"/>
      <c r="B550" s="2"/>
      <c r="C550" s="2"/>
      <c r="D550" s="22"/>
    </row>
    <row r="551" spans="1:4" x14ac:dyDescent="0.3">
      <c r="A551" s="2"/>
      <c r="B551" s="2"/>
      <c r="C551" s="2"/>
      <c r="D551" s="22"/>
    </row>
    <row r="552" spans="1:4" x14ac:dyDescent="0.3">
      <c r="A552" s="2"/>
      <c r="B552" s="2"/>
      <c r="C552" s="2"/>
      <c r="D552" s="22"/>
    </row>
    <row r="553" spans="1:4" x14ac:dyDescent="0.3">
      <c r="A553" s="2"/>
      <c r="B553" s="2"/>
      <c r="C553" s="2"/>
      <c r="D553" s="22"/>
    </row>
    <row r="554" spans="1:4" x14ac:dyDescent="0.3">
      <c r="A554" s="2"/>
      <c r="B554" s="2"/>
      <c r="C554" s="2"/>
      <c r="D554" s="22"/>
    </row>
    <row r="555" spans="1:4" x14ac:dyDescent="0.3">
      <c r="A555" s="2"/>
      <c r="B555" s="2"/>
      <c r="C555" s="2"/>
      <c r="D555" s="22"/>
    </row>
    <row r="556" spans="1:4" x14ac:dyDescent="0.3">
      <c r="A556" s="2"/>
      <c r="B556" s="2"/>
      <c r="C556" s="2"/>
      <c r="D556" s="22"/>
    </row>
    <row r="557" spans="1:4" x14ac:dyDescent="0.3">
      <c r="A557" s="2"/>
      <c r="B557" s="2"/>
      <c r="C557" s="2"/>
      <c r="D557" s="22"/>
    </row>
    <row r="558" spans="1:4" x14ac:dyDescent="0.3">
      <c r="A558" s="2"/>
      <c r="B558" s="2"/>
      <c r="C558" s="2"/>
      <c r="D558" s="22"/>
    </row>
    <row r="559" spans="1:4" x14ac:dyDescent="0.3">
      <c r="A559" s="2"/>
      <c r="B559" s="2"/>
      <c r="C559" s="2"/>
      <c r="D559" s="22"/>
    </row>
    <row r="560" spans="1:4" x14ac:dyDescent="0.3">
      <c r="A560" s="2"/>
      <c r="B560" s="2"/>
      <c r="C560" s="2"/>
      <c r="D560" s="22"/>
    </row>
    <row r="561" spans="1:4" x14ac:dyDescent="0.3">
      <c r="A561" s="2"/>
      <c r="B561" s="2"/>
      <c r="C561" s="2"/>
      <c r="D561" s="22"/>
    </row>
    <row r="562" spans="1:4" x14ac:dyDescent="0.3">
      <c r="A562" s="2"/>
      <c r="B562" s="2"/>
      <c r="C562" s="2"/>
      <c r="D562" s="22"/>
    </row>
    <row r="563" spans="1:4" x14ac:dyDescent="0.3">
      <c r="A563" s="2"/>
      <c r="B563" s="2"/>
      <c r="C563" s="2"/>
      <c r="D563" s="22"/>
    </row>
    <row r="564" spans="1:4" x14ac:dyDescent="0.3">
      <c r="A564" s="2"/>
      <c r="B564" s="2"/>
      <c r="C564" s="2"/>
      <c r="D564" s="22"/>
    </row>
    <row r="565" spans="1:4" x14ac:dyDescent="0.3">
      <c r="A565" s="2"/>
      <c r="B565" s="2"/>
      <c r="C565" s="2"/>
      <c r="D565" s="22"/>
    </row>
    <row r="566" spans="1:4" x14ac:dyDescent="0.3">
      <c r="A566" s="2"/>
      <c r="B566" s="2"/>
      <c r="C566" s="2"/>
      <c r="D566" s="22"/>
    </row>
    <row r="567" spans="1:4" x14ac:dyDescent="0.3">
      <c r="A567" s="2"/>
      <c r="B567" s="2"/>
      <c r="C567" s="2"/>
      <c r="D567" s="22"/>
    </row>
    <row r="568" spans="1:4" x14ac:dyDescent="0.3">
      <c r="A568" s="2"/>
      <c r="B568" s="2"/>
      <c r="C568" s="2"/>
      <c r="D568" s="22"/>
    </row>
    <row r="569" spans="1:4" x14ac:dyDescent="0.3">
      <c r="A569" s="2"/>
      <c r="B569" s="2"/>
      <c r="C569" s="2"/>
      <c r="D569" s="22"/>
    </row>
    <row r="570" spans="1:4" x14ac:dyDescent="0.3">
      <c r="A570" s="2"/>
      <c r="B570" s="2"/>
      <c r="C570" s="2"/>
      <c r="D570" s="22"/>
    </row>
    <row r="571" spans="1:4" x14ac:dyDescent="0.3">
      <c r="A571" s="2"/>
      <c r="B571" s="2"/>
      <c r="C571" s="2"/>
      <c r="D571" s="22"/>
    </row>
    <row r="572" spans="1:4" x14ac:dyDescent="0.3">
      <c r="A572" s="2"/>
      <c r="B572" s="2"/>
      <c r="C572" s="2"/>
      <c r="D572" s="22"/>
    </row>
    <row r="573" spans="1:4" x14ac:dyDescent="0.3">
      <c r="A573" s="2"/>
      <c r="B573" s="2"/>
      <c r="C573" s="2"/>
      <c r="D573" s="22"/>
    </row>
    <row r="574" spans="1:4" x14ac:dyDescent="0.3">
      <c r="A574" s="2"/>
      <c r="B574" s="2"/>
      <c r="C574" s="2"/>
      <c r="D574" s="22"/>
    </row>
    <row r="575" spans="1:4" x14ac:dyDescent="0.3">
      <c r="A575" s="2"/>
      <c r="B575" s="2"/>
      <c r="C575" s="2"/>
      <c r="D575" s="22"/>
    </row>
    <row r="576" spans="1:4" x14ac:dyDescent="0.3">
      <c r="A576" s="2"/>
      <c r="B576" s="2"/>
      <c r="C576" s="2"/>
      <c r="D576" s="22"/>
    </row>
    <row r="577" spans="1:4" x14ac:dyDescent="0.3">
      <c r="A577" s="2"/>
      <c r="B577" s="2"/>
      <c r="C577" s="2"/>
      <c r="D577" s="22"/>
    </row>
    <row r="578" spans="1:4" x14ac:dyDescent="0.3">
      <c r="A578" s="2"/>
      <c r="B578" s="2"/>
      <c r="C578" s="2"/>
      <c r="D578" s="22"/>
    </row>
    <row r="579" spans="1:4" x14ac:dyDescent="0.3">
      <c r="A579" s="2"/>
      <c r="B579" s="2"/>
      <c r="C579" s="2"/>
      <c r="D579" s="22"/>
    </row>
    <row r="580" spans="1:4" x14ac:dyDescent="0.3">
      <c r="A580" s="2"/>
      <c r="B580" s="2"/>
      <c r="C580" s="2"/>
      <c r="D580" s="22"/>
    </row>
    <row r="581" spans="1:4" x14ac:dyDescent="0.3">
      <c r="A581" s="2"/>
      <c r="B581" s="2"/>
      <c r="C581" s="2"/>
      <c r="D581" s="22"/>
    </row>
    <row r="582" spans="1:4" x14ac:dyDescent="0.3">
      <c r="A582" s="2"/>
      <c r="B582" s="2"/>
      <c r="C582" s="2"/>
      <c r="D582" s="22"/>
    </row>
    <row r="583" spans="1:4" x14ac:dyDescent="0.3">
      <c r="A583" s="2"/>
      <c r="B583" s="2"/>
      <c r="C583" s="2"/>
      <c r="D583" s="22"/>
    </row>
    <row r="584" spans="1:4" x14ac:dyDescent="0.3">
      <c r="A584" s="2"/>
      <c r="B584" s="2"/>
      <c r="C584" s="2"/>
      <c r="D584" s="22"/>
    </row>
    <row r="585" spans="1:4" x14ac:dyDescent="0.3">
      <c r="A585" s="2"/>
      <c r="B585" s="2"/>
      <c r="C585" s="2"/>
      <c r="D585" s="22"/>
    </row>
    <row r="586" spans="1:4" x14ac:dyDescent="0.3">
      <c r="A586" s="2"/>
      <c r="B586" s="2"/>
      <c r="C586" s="2"/>
      <c r="D586" s="22"/>
    </row>
    <row r="587" spans="1:4" x14ac:dyDescent="0.3">
      <c r="A587" s="2"/>
      <c r="B587" s="2"/>
      <c r="C587" s="2"/>
      <c r="D587" s="22"/>
    </row>
    <row r="588" spans="1:4" x14ac:dyDescent="0.3">
      <c r="A588" s="2"/>
      <c r="B588" s="2"/>
      <c r="C588" s="2"/>
      <c r="D588" s="22"/>
    </row>
    <row r="589" spans="1:4" x14ac:dyDescent="0.3">
      <c r="A589" s="2"/>
      <c r="B589" s="2"/>
      <c r="C589" s="2"/>
      <c r="D589" s="22"/>
    </row>
    <row r="590" spans="1:4" x14ac:dyDescent="0.3">
      <c r="A590" s="2"/>
      <c r="B590" s="2"/>
      <c r="C590" s="2"/>
      <c r="D590" s="22"/>
    </row>
    <row r="591" spans="1:4" x14ac:dyDescent="0.3">
      <c r="A591" s="2"/>
      <c r="B591" s="2"/>
      <c r="C591" s="2"/>
      <c r="D591" s="22"/>
    </row>
    <row r="592" spans="1:4" x14ac:dyDescent="0.3">
      <c r="A592" s="2"/>
      <c r="B592" s="2"/>
      <c r="C592" s="2"/>
      <c r="D592" s="22"/>
    </row>
    <row r="593" spans="1:4" x14ac:dyDescent="0.3">
      <c r="A593" s="2"/>
      <c r="B593" s="2"/>
      <c r="C593" s="2"/>
      <c r="D593" s="22"/>
    </row>
    <row r="594" spans="1:4" x14ac:dyDescent="0.3">
      <c r="A594" s="2"/>
      <c r="B594" s="2"/>
      <c r="C594" s="2"/>
      <c r="D594" s="22"/>
    </row>
    <row r="595" spans="1:4" x14ac:dyDescent="0.3">
      <c r="A595" s="2"/>
      <c r="B595" s="2"/>
      <c r="C595" s="2"/>
      <c r="D595" s="22"/>
    </row>
    <row r="596" spans="1:4" x14ac:dyDescent="0.3">
      <c r="A596" s="2"/>
      <c r="B596" s="2"/>
      <c r="C596" s="2"/>
      <c r="D596" s="22"/>
    </row>
    <row r="597" spans="1:4" x14ac:dyDescent="0.3">
      <c r="A597" s="2"/>
      <c r="B597" s="2"/>
      <c r="C597" s="2"/>
      <c r="D597" s="22"/>
    </row>
    <row r="598" spans="1:4" x14ac:dyDescent="0.3">
      <c r="A598" s="2"/>
      <c r="B598" s="2"/>
      <c r="C598" s="2"/>
      <c r="D598" s="22"/>
    </row>
    <row r="599" spans="1:4" x14ac:dyDescent="0.3">
      <c r="A599" s="2"/>
      <c r="B599" s="2"/>
      <c r="C599" s="2"/>
      <c r="D599" s="22"/>
    </row>
    <row r="600" spans="1:4" x14ac:dyDescent="0.3">
      <c r="A600" s="2"/>
      <c r="B600" s="2"/>
      <c r="C600" s="2"/>
      <c r="D600" s="22"/>
    </row>
    <row r="601" spans="1:4" x14ac:dyDescent="0.3">
      <c r="A601" s="2"/>
      <c r="B601" s="2"/>
      <c r="C601" s="2"/>
      <c r="D601" s="22"/>
    </row>
    <row r="602" spans="1:4" x14ac:dyDescent="0.3">
      <c r="A602" s="2"/>
      <c r="B602" s="2"/>
      <c r="C602" s="2"/>
      <c r="D602" s="22"/>
    </row>
    <row r="603" spans="1:4" x14ac:dyDescent="0.3">
      <c r="A603" s="2"/>
      <c r="B603" s="2"/>
      <c r="C603" s="2"/>
      <c r="D603" s="22"/>
    </row>
    <row r="604" spans="1:4" x14ac:dyDescent="0.3">
      <c r="A604" s="2"/>
      <c r="B604" s="2"/>
      <c r="C604" s="2"/>
      <c r="D604" s="22"/>
    </row>
    <row r="605" spans="1:4" x14ac:dyDescent="0.3">
      <c r="A605" s="2"/>
      <c r="B605" s="2"/>
      <c r="C605" s="2"/>
      <c r="D605" s="22"/>
    </row>
    <row r="606" spans="1:4" x14ac:dyDescent="0.3">
      <c r="A606" s="2"/>
      <c r="B606" s="2"/>
      <c r="C606" s="2"/>
      <c r="D606" s="22"/>
    </row>
    <row r="607" spans="1:4" x14ac:dyDescent="0.3">
      <c r="A607" s="2"/>
      <c r="B607" s="2"/>
      <c r="C607" s="2"/>
      <c r="D607" s="22"/>
    </row>
    <row r="608" spans="1:4" x14ac:dyDescent="0.3">
      <c r="A608" s="2"/>
      <c r="B608" s="2"/>
      <c r="C608" s="2"/>
      <c r="D608" s="22"/>
    </row>
    <row r="609" spans="1:4" x14ac:dyDescent="0.3">
      <c r="A609" s="2"/>
      <c r="B609" s="2"/>
      <c r="C609" s="2"/>
      <c r="D609" s="22"/>
    </row>
    <row r="610" spans="1:4" x14ac:dyDescent="0.3">
      <c r="A610" s="2"/>
      <c r="B610" s="2"/>
      <c r="C610" s="2"/>
      <c r="D610" s="22"/>
    </row>
    <row r="611" spans="1:4" x14ac:dyDescent="0.3">
      <c r="A611" s="2"/>
      <c r="B611" s="2"/>
      <c r="C611" s="2"/>
      <c r="D611" s="22"/>
    </row>
    <row r="612" spans="1:4" x14ac:dyDescent="0.3">
      <c r="A612" s="2"/>
      <c r="B612" s="2"/>
      <c r="C612" s="2"/>
      <c r="D612" s="22"/>
    </row>
    <row r="613" spans="1:4" x14ac:dyDescent="0.3">
      <c r="A613" s="2"/>
      <c r="B613" s="2"/>
      <c r="C613" s="2"/>
      <c r="D613" s="22"/>
    </row>
    <row r="614" spans="1:4" x14ac:dyDescent="0.3">
      <c r="A614" s="2"/>
      <c r="B614" s="2"/>
      <c r="C614" s="2"/>
      <c r="D614" s="22"/>
    </row>
    <row r="615" spans="1:4" x14ac:dyDescent="0.3">
      <c r="A615" s="2"/>
      <c r="B615" s="2"/>
      <c r="C615" s="2"/>
      <c r="D615" s="22"/>
    </row>
    <row r="616" spans="1:4" x14ac:dyDescent="0.3">
      <c r="A616" s="2"/>
      <c r="B616" s="2"/>
      <c r="C616" s="2"/>
      <c r="D616" s="22"/>
    </row>
    <row r="617" spans="1:4" x14ac:dyDescent="0.3">
      <c r="A617" s="2"/>
      <c r="B617" s="2"/>
      <c r="C617" s="2"/>
      <c r="D617" s="22"/>
    </row>
    <row r="618" spans="1:4" x14ac:dyDescent="0.3">
      <c r="A618" s="2"/>
      <c r="B618" s="2"/>
      <c r="C618" s="2"/>
      <c r="D618" s="22"/>
    </row>
    <row r="619" spans="1:4" x14ac:dyDescent="0.3">
      <c r="A619" s="2"/>
      <c r="B619" s="2"/>
      <c r="C619" s="2"/>
      <c r="D619" s="22"/>
    </row>
    <row r="620" spans="1:4" x14ac:dyDescent="0.3">
      <c r="A620" s="2"/>
      <c r="B620" s="2"/>
      <c r="C620" s="2"/>
      <c r="D620" s="22"/>
    </row>
    <row r="621" spans="1:4" x14ac:dyDescent="0.3">
      <c r="A621" s="2"/>
      <c r="B621" s="2"/>
      <c r="C621" s="2"/>
      <c r="D621" s="22"/>
    </row>
    <row r="622" spans="1:4" x14ac:dyDescent="0.3">
      <c r="A622" s="2"/>
      <c r="B622" s="2"/>
      <c r="C622" s="2"/>
      <c r="D622" s="22"/>
    </row>
    <row r="623" spans="1:4" x14ac:dyDescent="0.3">
      <c r="A623" s="2"/>
      <c r="B623" s="2"/>
      <c r="C623" s="2"/>
      <c r="D623" s="22"/>
    </row>
    <row r="624" spans="1:4" x14ac:dyDescent="0.3">
      <c r="A624" s="2"/>
      <c r="B624" s="2"/>
      <c r="C624" s="2"/>
      <c r="D624" s="22"/>
    </row>
    <row r="625" spans="1:4" x14ac:dyDescent="0.3">
      <c r="A625" s="2"/>
      <c r="B625" s="2"/>
      <c r="C625" s="2"/>
      <c r="D625" s="22"/>
    </row>
    <row r="626" spans="1:4" x14ac:dyDescent="0.3">
      <c r="A626" s="2"/>
      <c r="B626" s="2"/>
      <c r="C626" s="2"/>
      <c r="D626" s="22"/>
    </row>
    <row r="627" spans="1:4" x14ac:dyDescent="0.3">
      <c r="A627" s="2"/>
      <c r="B627" s="2"/>
      <c r="C627" s="2"/>
      <c r="D627" s="22"/>
    </row>
    <row r="628" spans="1:4" x14ac:dyDescent="0.3">
      <c r="A628" s="2"/>
      <c r="B628" s="2"/>
      <c r="C628" s="2"/>
      <c r="D628" s="22"/>
    </row>
    <row r="629" spans="1:4" x14ac:dyDescent="0.3">
      <c r="A629" s="2"/>
      <c r="B629" s="2"/>
      <c r="C629" s="2"/>
      <c r="D629" s="22"/>
    </row>
    <row r="630" spans="1:4" x14ac:dyDescent="0.3">
      <c r="A630" s="2"/>
      <c r="B630" s="2"/>
      <c r="C630" s="2"/>
      <c r="D630" s="22"/>
    </row>
    <row r="631" spans="1:4" x14ac:dyDescent="0.3">
      <c r="A631" s="2"/>
      <c r="B631" s="2"/>
      <c r="C631" s="2"/>
      <c r="D631" s="22"/>
    </row>
    <row r="632" spans="1:4" x14ac:dyDescent="0.3">
      <c r="A632" s="2"/>
      <c r="B632" s="2"/>
      <c r="C632" s="2"/>
      <c r="D632" s="22"/>
    </row>
    <row r="633" spans="1:4" x14ac:dyDescent="0.3">
      <c r="A633" s="2"/>
      <c r="B633" s="2"/>
      <c r="C633" s="2"/>
      <c r="D633" s="22"/>
    </row>
    <row r="634" spans="1:4" x14ac:dyDescent="0.3">
      <c r="A634" s="2"/>
      <c r="B634" s="2"/>
      <c r="C634" s="2"/>
      <c r="D634" s="22"/>
    </row>
    <row r="635" spans="1:4" x14ac:dyDescent="0.3">
      <c r="A635" s="2"/>
      <c r="B635" s="2"/>
      <c r="C635" s="2"/>
      <c r="D635" s="22"/>
    </row>
    <row r="636" spans="1:4" x14ac:dyDescent="0.3">
      <c r="A636" s="2"/>
      <c r="B636" s="2"/>
      <c r="C636" s="2"/>
      <c r="D636" s="22"/>
    </row>
    <row r="637" spans="1:4" x14ac:dyDescent="0.3">
      <c r="A637" s="2"/>
      <c r="B637" s="2"/>
      <c r="C637" s="2"/>
      <c r="D637" s="22"/>
    </row>
    <row r="638" spans="1:4" x14ac:dyDescent="0.3">
      <c r="A638" s="2"/>
      <c r="B638" s="2"/>
      <c r="C638" s="2"/>
      <c r="D638" s="22"/>
    </row>
    <row r="639" spans="1:4" x14ac:dyDescent="0.3">
      <c r="A639" s="2"/>
      <c r="B639" s="2"/>
      <c r="C639" s="2"/>
      <c r="D639" s="22"/>
    </row>
    <row r="640" spans="1:4" x14ac:dyDescent="0.3">
      <c r="A640" s="2"/>
      <c r="B640" s="2"/>
      <c r="C640" s="2"/>
      <c r="D640" s="22"/>
    </row>
    <row r="641" spans="1:4" x14ac:dyDescent="0.3">
      <c r="A641" s="2"/>
      <c r="B641" s="2"/>
      <c r="C641" s="2"/>
      <c r="D641" s="22"/>
    </row>
    <row r="642" spans="1:4" x14ac:dyDescent="0.3">
      <c r="A642" s="2"/>
      <c r="B642" s="2"/>
      <c r="C642" s="2"/>
      <c r="D642" s="22"/>
    </row>
    <row r="643" spans="1:4" x14ac:dyDescent="0.3">
      <c r="A643" s="2"/>
      <c r="B643" s="2"/>
      <c r="C643" s="2"/>
      <c r="D643" s="22"/>
    </row>
    <row r="644" spans="1:4" x14ac:dyDescent="0.3">
      <c r="A644" s="2"/>
      <c r="B644" s="2"/>
      <c r="C644" s="2"/>
      <c r="D644" s="22"/>
    </row>
    <row r="645" spans="1:4" x14ac:dyDescent="0.3">
      <c r="A645" s="2"/>
      <c r="B645" s="2"/>
      <c r="C645" s="2"/>
      <c r="D645" s="22"/>
    </row>
    <row r="646" spans="1:4" x14ac:dyDescent="0.3">
      <c r="A646" s="2"/>
      <c r="B646" s="2"/>
      <c r="C646" s="2"/>
      <c r="D646" s="22"/>
    </row>
    <row r="647" spans="1:4" x14ac:dyDescent="0.3">
      <c r="A647" s="2"/>
      <c r="B647" s="2"/>
      <c r="C647" s="2"/>
      <c r="D647" s="22"/>
    </row>
    <row r="648" spans="1:4" x14ac:dyDescent="0.3">
      <c r="A648" s="2"/>
      <c r="B648" s="2"/>
      <c r="C648" s="2"/>
      <c r="D648" s="22"/>
    </row>
    <row r="649" spans="1:4" x14ac:dyDescent="0.3">
      <c r="A649" s="2"/>
      <c r="B649" s="2"/>
      <c r="C649" s="2"/>
      <c r="D649" s="22"/>
    </row>
    <row r="650" spans="1:4" x14ac:dyDescent="0.3">
      <c r="A650" s="2"/>
      <c r="B650" s="2"/>
      <c r="C650" s="2"/>
      <c r="D650" s="22"/>
    </row>
    <row r="651" spans="1:4" x14ac:dyDescent="0.3">
      <c r="A651" s="2"/>
      <c r="B651" s="2"/>
      <c r="C651" s="2"/>
      <c r="D651" s="22"/>
    </row>
    <row r="652" spans="1:4" x14ac:dyDescent="0.3">
      <c r="A652" s="2"/>
      <c r="B652" s="2"/>
      <c r="C652" s="2"/>
      <c r="D652" s="22"/>
    </row>
    <row r="653" spans="1:4" x14ac:dyDescent="0.3">
      <c r="A653" s="2"/>
      <c r="B653" s="2"/>
      <c r="C653" s="2"/>
      <c r="D653" s="22"/>
    </row>
    <row r="654" spans="1:4" x14ac:dyDescent="0.3">
      <c r="A654" s="2"/>
      <c r="B654" s="2"/>
      <c r="C654" s="2"/>
      <c r="D654" s="22"/>
    </row>
    <row r="655" spans="1:4" x14ac:dyDescent="0.3">
      <c r="A655" s="2"/>
      <c r="B655" s="2"/>
      <c r="C655" s="2"/>
      <c r="D655" s="22"/>
    </row>
    <row r="656" spans="1:4" x14ac:dyDescent="0.3">
      <c r="A656" s="2"/>
      <c r="B656" s="2"/>
      <c r="C656" s="2"/>
      <c r="D656" s="22"/>
    </row>
    <row r="657" spans="1:4" x14ac:dyDescent="0.3">
      <c r="A657" s="2"/>
      <c r="B657" s="2"/>
      <c r="C657" s="2"/>
      <c r="D657" s="22"/>
    </row>
    <row r="658" spans="1:4" x14ac:dyDescent="0.3">
      <c r="A658" s="2"/>
      <c r="B658" s="2"/>
      <c r="C658" s="2"/>
      <c r="D658" s="22"/>
    </row>
    <row r="659" spans="1:4" x14ac:dyDescent="0.3">
      <c r="A659" s="2"/>
      <c r="B659" s="2"/>
      <c r="C659" s="2"/>
      <c r="D659" s="22"/>
    </row>
    <row r="660" spans="1:4" x14ac:dyDescent="0.3">
      <c r="A660" s="2"/>
      <c r="B660" s="2"/>
      <c r="C660" s="2"/>
      <c r="D660" s="22"/>
    </row>
    <row r="661" spans="1:4" x14ac:dyDescent="0.3">
      <c r="A661" s="2"/>
      <c r="B661" s="2"/>
      <c r="C661" s="2"/>
      <c r="D661" s="22"/>
    </row>
    <row r="662" spans="1:4" x14ac:dyDescent="0.3">
      <c r="A662" s="2"/>
      <c r="B662" s="2"/>
      <c r="C662" s="2"/>
      <c r="D662" s="22"/>
    </row>
    <row r="663" spans="1:4" x14ac:dyDescent="0.3">
      <c r="A663" s="2"/>
      <c r="B663" s="2"/>
      <c r="C663" s="2"/>
      <c r="D663" s="22"/>
    </row>
    <row r="664" spans="1:4" x14ac:dyDescent="0.3">
      <c r="A664" s="2"/>
      <c r="B664" s="2"/>
      <c r="C664" s="2"/>
      <c r="D664" s="22"/>
    </row>
    <row r="665" spans="1:4" x14ac:dyDescent="0.3">
      <c r="A665" s="2"/>
      <c r="B665" s="2"/>
      <c r="C665" s="2"/>
      <c r="D665" s="22"/>
    </row>
    <row r="666" spans="1:4" x14ac:dyDescent="0.3">
      <c r="A666" s="2"/>
      <c r="B666" s="2"/>
      <c r="C666" s="2"/>
      <c r="D666" s="22"/>
    </row>
    <row r="667" spans="1:4" x14ac:dyDescent="0.3">
      <c r="A667" s="2"/>
      <c r="B667" s="2"/>
      <c r="C667" s="2"/>
      <c r="D667" s="22"/>
    </row>
    <row r="668" spans="1:4" x14ac:dyDescent="0.3">
      <c r="A668" s="2"/>
      <c r="B668" s="2"/>
      <c r="C668" s="2"/>
      <c r="D668" s="22"/>
    </row>
    <row r="669" spans="1:4" x14ac:dyDescent="0.3">
      <c r="A669" s="2"/>
      <c r="B669" s="2"/>
      <c r="C669" s="2"/>
      <c r="D669" s="22"/>
    </row>
    <row r="670" spans="1:4" x14ac:dyDescent="0.3">
      <c r="A670" s="2"/>
      <c r="B670" s="2"/>
      <c r="C670" s="2"/>
      <c r="D670" s="22"/>
    </row>
    <row r="671" spans="1:4" x14ac:dyDescent="0.3">
      <c r="A671" s="2"/>
      <c r="B671" s="2"/>
      <c r="C671" s="2"/>
      <c r="D671" s="22"/>
    </row>
    <row r="672" spans="1:4" x14ac:dyDescent="0.3">
      <c r="A672" s="2"/>
      <c r="B672" s="2"/>
      <c r="C672" s="2"/>
      <c r="D672" s="22"/>
    </row>
    <row r="673" spans="1:4" x14ac:dyDescent="0.3">
      <c r="A673" s="2"/>
      <c r="B673" s="2"/>
      <c r="C673" s="2"/>
      <c r="D673" s="22"/>
    </row>
    <row r="674" spans="1:4" x14ac:dyDescent="0.3">
      <c r="A674" s="2"/>
      <c r="B674" s="2"/>
      <c r="C674" s="2"/>
      <c r="D674" s="22"/>
    </row>
    <row r="675" spans="1:4" x14ac:dyDescent="0.3">
      <c r="A675" s="2"/>
      <c r="B675" s="2"/>
      <c r="C675" s="2"/>
      <c r="D675" s="22"/>
    </row>
    <row r="676" spans="1:4" x14ac:dyDescent="0.3">
      <c r="A676" s="2"/>
      <c r="B676" s="2"/>
      <c r="C676" s="2"/>
      <c r="D676" s="22"/>
    </row>
    <row r="677" spans="1:4" x14ac:dyDescent="0.3">
      <c r="A677" s="2"/>
      <c r="B677" s="2"/>
      <c r="C677" s="2"/>
      <c r="D677" s="22"/>
    </row>
    <row r="678" spans="1:4" x14ac:dyDescent="0.3">
      <c r="A678" s="2"/>
      <c r="B678" s="2"/>
      <c r="C678" s="2"/>
      <c r="D678" s="22"/>
    </row>
    <row r="679" spans="1:4" x14ac:dyDescent="0.3">
      <c r="A679" s="2"/>
      <c r="B679" s="2"/>
      <c r="C679" s="2"/>
      <c r="D679" s="22"/>
    </row>
    <row r="680" spans="1:4" x14ac:dyDescent="0.3">
      <c r="A680" s="2"/>
      <c r="B680" s="2"/>
      <c r="C680" s="2"/>
      <c r="D680" s="22"/>
    </row>
    <row r="681" spans="1:4" x14ac:dyDescent="0.3">
      <c r="A681" s="2"/>
      <c r="B681" s="2"/>
      <c r="C681" s="2"/>
      <c r="D681" s="22"/>
    </row>
    <row r="682" spans="1:4" x14ac:dyDescent="0.3">
      <c r="A682" s="2"/>
      <c r="B682" s="2"/>
      <c r="C682" s="2"/>
      <c r="D682" s="22"/>
    </row>
    <row r="683" spans="1:4" x14ac:dyDescent="0.3">
      <c r="A683" s="2"/>
      <c r="B683" s="2"/>
      <c r="C683" s="2"/>
      <c r="D683" s="22"/>
    </row>
    <row r="684" spans="1:4" x14ac:dyDescent="0.3">
      <c r="A684" s="2"/>
      <c r="B684" s="2"/>
      <c r="C684" s="2"/>
      <c r="D684" s="22"/>
    </row>
    <row r="685" spans="1:4" x14ac:dyDescent="0.3">
      <c r="A685" s="2"/>
      <c r="B685" s="2"/>
      <c r="C685" s="2"/>
      <c r="D685" s="22"/>
    </row>
    <row r="686" spans="1:4" x14ac:dyDescent="0.3">
      <c r="A686" s="2"/>
      <c r="B686" s="2"/>
      <c r="C686" s="2"/>
      <c r="D686" s="22"/>
    </row>
    <row r="687" spans="1:4" x14ac:dyDescent="0.3">
      <c r="A687" s="2"/>
      <c r="B687" s="2"/>
      <c r="C687" s="2"/>
      <c r="D687" s="22"/>
    </row>
    <row r="688" spans="1:4" x14ac:dyDescent="0.3">
      <c r="A688" s="2"/>
      <c r="B688" s="2"/>
      <c r="C688" s="2"/>
      <c r="D688" s="22"/>
    </row>
    <row r="689" spans="1:4" x14ac:dyDescent="0.3">
      <c r="A689" s="2"/>
      <c r="B689" s="2"/>
      <c r="C689" s="2"/>
      <c r="D689" s="22"/>
    </row>
    <row r="690" spans="1:4" x14ac:dyDescent="0.3">
      <c r="A690" s="2"/>
      <c r="B690" s="2"/>
      <c r="C690" s="2"/>
      <c r="D690" s="22"/>
    </row>
    <row r="691" spans="1:4" x14ac:dyDescent="0.3">
      <c r="A691" s="2"/>
      <c r="B691" s="2"/>
      <c r="C691" s="2"/>
      <c r="D691" s="22"/>
    </row>
    <row r="692" spans="1:4" x14ac:dyDescent="0.3">
      <c r="A692" s="2"/>
      <c r="B692" s="2"/>
      <c r="C692" s="2"/>
      <c r="D692" s="22"/>
    </row>
    <row r="693" spans="1:4" x14ac:dyDescent="0.3">
      <c r="A693" s="2"/>
      <c r="B693" s="2"/>
      <c r="C693" s="2"/>
      <c r="D693" s="22"/>
    </row>
    <row r="694" spans="1:4" x14ac:dyDescent="0.3">
      <c r="A694" s="2"/>
      <c r="B694" s="2"/>
      <c r="C694" s="2"/>
      <c r="D694" s="22"/>
    </row>
    <row r="695" spans="1:4" x14ac:dyDescent="0.3">
      <c r="A695" s="2"/>
      <c r="B695" s="2"/>
      <c r="C695" s="2"/>
      <c r="D695" s="22"/>
    </row>
    <row r="696" spans="1:4" x14ac:dyDescent="0.3">
      <c r="A696" s="2"/>
      <c r="B696" s="2"/>
      <c r="C696" s="2"/>
      <c r="D696" s="22"/>
    </row>
    <row r="697" spans="1:4" x14ac:dyDescent="0.3">
      <c r="A697" s="2"/>
      <c r="B697" s="2"/>
      <c r="C697" s="2"/>
      <c r="D697" s="22"/>
    </row>
    <row r="698" spans="1:4" x14ac:dyDescent="0.3">
      <c r="A698" s="2"/>
      <c r="B698" s="2"/>
      <c r="C698" s="2"/>
      <c r="D698" s="22"/>
    </row>
    <row r="699" spans="1:4" x14ac:dyDescent="0.3">
      <c r="A699" s="2"/>
      <c r="B699" s="2"/>
      <c r="C699" s="2"/>
      <c r="D699" s="22"/>
    </row>
    <row r="700" spans="1:4" x14ac:dyDescent="0.3">
      <c r="A700" s="2"/>
      <c r="B700" s="2"/>
      <c r="C700" s="2"/>
      <c r="D700" s="22"/>
    </row>
    <row r="701" spans="1:4" x14ac:dyDescent="0.3">
      <c r="A701" s="2"/>
      <c r="B701" s="2"/>
      <c r="C701" s="2"/>
      <c r="D701" s="22"/>
    </row>
    <row r="702" spans="1:4" x14ac:dyDescent="0.3">
      <c r="A702" s="2"/>
      <c r="B702" s="2"/>
      <c r="C702" s="2"/>
      <c r="D702" s="22"/>
    </row>
    <row r="703" spans="1:4" x14ac:dyDescent="0.3">
      <c r="A703" s="2"/>
      <c r="B703" s="2"/>
      <c r="C703" s="2"/>
      <c r="D703" s="22"/>
    </row>
    <row r="704" spans="1:4" x14ac:dyDescent="0.3">
      <c r="A704" s="2"/>
      <c r="B704" s="2"/>
      <c r="C704" s="2"/>
      <c r="D704" s="22"/>
    </row>
    <row r="705" spans="1:4" x14ac:dyDescent="0.3">
      <c r="A705" s="2"/>
      <c r="B705" s="2"/>
      <c r="C705" s="2"/>
      <c r="D705" s="22"/>
    </row>
    <row r="706" spans="1:4" x14ac:dyDescent="0.3">
      <c r="A706" s="2"/>
      <c r="B706" s="2"/>
      <c r="C706" s="2"/>
      <c r="D706" s="22"/>
    </row>
    <row r="707" spans="1:4" x14ac:dyDescent="0.3">
      <c r="A707" s="2"/>
      <c r="B707" s="2"/>
      <c r="C707" s="2"/>
      <c r="D707" s="22"/>
    </row>
    <row r="708" spans="1:4" x14ac:dyDescent="0.3">
      <c r="A708" s="2"/>
      <c r="B708" s="2"/>
      <c r="C708" s="2"/>
      <c r="D708" s="22"/>
    </row>
    <row r="709" spans="1:4" x14ac:dyDescent="0.3">
      <c r="A709" s="2"/>
      <c r="B709" s="2"/>
      <c r="C709" s="2"/>
      <c r="D709" s="22"/>
    </row>
    <row r="710" spans="1:4" x14ac:dyDescent="0.3">
      <c r="A710" s="2"/>
      <c r="B710" s="2"/>
      <c r="C710" s="2"/>
      <c r="D710" s="22"/>
    </row>
    <row r="711" spans="1:4" x14ac:dyDescent="0.3">
      <c r="A711" s="2"/>
      <c r="B711" s="2"/>
      <c r="C711" s="2"/>
      <c r="D711" s="22"/>
    </row>
    <row r="712" spans="1:4" x14ac:dyDescent="0.3">
      <c r="A712" s="2"/>
      <c r="B712" s="2"/>
      <c r="C712" s="2"/>
      <c r="D712" s="22"/>
    </row>
    <row r="713" spans="1:4" x14ac:dyDescent="0.3">
      <c r="A713" s="2"/>
      <c r="B713" s="2"/>
      <c r="C713" s="2"/>
      <c r="D713" s="22"/>
    </row>
    <row r="714" spans="1:4" x14ac:dyDescent="0.3">
      <c r="A714" s="2"/>
      <c r="B714" s="2"/>
      <c r="C714" s="2"/>
      <c r="D714" s="22"/>
    </row>
    <row r="715" spans="1:4" x14ac:dyDescent="0.3">
      <c r="A715" s="2"/>
      <c r="B715" s="2"/>
      <c r="C715" s="2"/>
      <c r="D715" s="22"/>
    </row>
    <row r="716" spans="1:4" x14ac:dyDescent="0.3">
      <c r="A716" s="2"/>
      <c r="B716" s="2"/>
      <c r="C716" s="2"/>
      <c r="D716" s="22"/>
    </row>
    <row r="717" spans="1:4" x14ac:dyDescent="0.3">
      <c r="A717" s="2"/>
      <c r="B717" s="2"/>
      <c r="C717" s="2"/>
      <c r="D717" s="22"/>
    </row>
    <row r="718" spans="1:4" x14ac:dyDescent="0.3">
      <c r="A718" s="2"/>
      <c r="B718" s="2"/>
      <c r="C718" s="2"/>
      <c r="D718" s="22"/>
    </row>
    <row r="719" spans="1:4" x14ac:dyDescent="0.3">
      <c r="A719" s="2"/>
      <c r="B719" s="2"/>
      <c r="C719" s="2"/>
      <c r="D719" s="22"/>
    </row>
    <row r="720" spans="1:4" x14ac:dyDescent="0.3">
      <c r="A720" s="2"/>
      <c r="B720" s="2"/>
      <c r="C720" s="2"/>
      <c r="D720" s="22"/>
    </row>
    <row r="721" spans="1:4" x14ac:dyDescent="0.3">
      <c r="A721" s="2"/>
      <c r="B721" s="2"/>
      <c r="C721" s="2"/>
      <c r="D721" s="22"/>
    </row>
    <row r="722" spans="1:4" x14ac:dyDescent="0.3">
      <c r="A722" s="2"/>
      <c r="B722" s="2"/>
      <c r="C722" s="2"/>
      <c r="D722" s="22"/>
    </row>
    <row r="723" spans="1:4" x14ac:dyDescent="0.3">
      <c r="A723" s="2"/>
      <c r="B723" s="2"/>
      <c r="C723" s="2"/>
      <c r="D723" s="22"/>
    </row>
    <row r="724" spans="1:4" x14ac:dyDescent="0.3">
      <c r="A724" s="2"/>
      <c r="B724" s="2"/>
      <c r="C724" s="2"/>
      <c r="D724" s="22"/>
    </row>
    <row r="725" spans="1:4" x14ac:dyDescent="0.3">
      <c r="A725" s="2"/>
      <c r="B725" s="2"/>
      <c r="C725" s="2"/>
      <c r="D725" s="22"/>
    </row>
    <row r="726" spans="1:4" x14ac:dyDescent="0.3">
      <c r="A726" s="2"/>
      <c r="B726" s="2"/>
      <c r="C726" s="2"/>
      <c r="D726" s="22"/>
    </row>
    <row r="727" spans="1:4" x14ac:dyDescent="0.3">
      <c r="A727" s="2"/>
      <c r="B727" s="2"/>
      <c r="C727" s="2"/>
      <c r="D727" s="22"/>
    </row>
    <row r="728" spans="1:4" x14ac:dyDescent="0.3">
      <c r="A728" s="2"/>
      <c r="B728" s="2"/>
      <c r="C728" s="2"/>
      <c r="D728" s="22"/>
    </row>
    <row r="729" spans="1:4" x14ac:dyDescent="0.3">
      <c r="A729" s="2"/>
      <c r="B729" s="2"/>
      <c r="C729" s="2"/>
      <c r="D729" s="22"/>
    </row>
    <row r="730" spans="1:4" x14ac:dyDescent="0.3">
      <c r="A730" s="2"/>
      <c r="B730" s="2"/>
      <c r="C730" s="2"/>
      <c r="D730" s="22"/>
    </row>
    <row r="731" spans="1:4" x14ac:dyDescent="0.3">
      <c r="A731" s="2"/>
      <c r="B731" s="2"/>
      <c r="C731" s="2"/>
      <c r="D731" s="22"/>
    </row>
    <row r="732" spans="1:4" x14ac:dyDescent="0.3">
      <c r="A732" s="2"/>
      <c r="B732" s="2"/>
      <c r="C732" s="2"/>
      <c r="D732" s="22"/>
    </row>
    <row r="733" spans="1:4" x14ac:dyDescent="0.3">
      <c r="A733" s="2"/>
      <c r="B733" s="2"/>
      <c r="C733" s="2"/>
      <c r="D733" s="22"/>
    </row>
    <row r="734" spans="1:4" x14ac:dyDescent="0.3">
      <c r="A734" s="2"/>
      <c r="B734" s="2"/>
      <c r="C734" s="2"/>
      <c r="D734" s="22"/>
    </row>
    <row r="735" spans="1:4" x14ac:dyDescent="0.3">
      <c r="A735" s="2"/>
      <c r="B735" s="2"/>
      <c r="C735" s="2"/>
      <c r="D735" s="22"/>
    </row>
    <row r="736" spans="1:4" x14ac:dyDescent="0.3">
      <c r="A736" s="2"/>
      <c r="B736" s="2"/>
      <c r="C736" s="2"/>
      <c r="D736" s="22"/>
    </row>
    <row r="737" spans="1:4" x14ac:dyDescent="0.3">
      <c r="A737" s="2"/>
      <c r="B737" s="2"/>
      <c r="C737" s="2"/>
      <c r="D737" s="22"/>
    </row>
    <row r="738" spans="1:4" x14ac:dyDescent="0.3">
      <c r="A738" s="2"/>
      <c r="B738" s="2"/>
      <c r="C738" s="2"/>
      <c r="D738" s="22"/>
    </row>
    <row r="739" spans="1:4" x14ac:dyDescent="0.3">
      <c r="A739" s="2"/>
      <c r="B739" s="2"/>
      <c r="C739" s="2"/>
      <c r="D739" s="22"/>
    </row>
    <row r="740" spans="1:4" x14ac:dyDescent="0.3">
      <c r="A740" s="2"/>
      <c r="B740" s="2"/>
      <c r="C740" s="2"/>
      <c r="D740" s="22"/>
    </row>
    <row r="741" spans="1:4" x14ac:dyDescent="0.3">
      <c r="A741" s="2"/>
      <c r="B741" s="2"/>
      <c r="C741" s="2"/>
      <c r="D741" s="22"/>
    </row>
    <row r="742" spans="1:4" x14ac:dyDescent="0.3">
      <c r="A742" s="2"/>
      <c r="B742" s="2"/>
      <c r="C742" s="2"/>
      <c r="D742" s="22"/>
    </row>
    <row r="743" spans="1:4" x14ac:dyDescent="0.3">
      <c r="A743" s="2"/>
      <c r="B743" s="2"/>
      <c r="C743" s="2"/>
      <c r="D743" s="22"/>
    </row>
    <row r="744" spans="1:4" x14ac:dyDescent="0.3">
      <c r="A744" s="2"/>
      <c r="B744" s="2"/>
      <c r="C744" s="2"/>
      <c r="D744" s="22"/>
    </row>
    <row r="745" spans="1:4" x14ac:dyDescent="0.3">
      <c r="A745" s="2"/>
      <c r="B745" s="2"/>
      <c r="C745" s="2"/>
      <c r="D745" s="22"/>
    </row>
    <row r="746" spans="1:4" x14ac:dyDescent="0.3">
      <c r="A746" s="2"/>
      <c r="B746" s="2"/>
      <c r="C746" s="2"/>
      <c r="D746" s="22"/>
    </row>
    <row r="747" spans="1:4" x14ac:dyDescent="0.3">
      <c r="A747" s="2"/>
      <c r="B747" s="2"/>
      <c r="C747" s="2"/>
      <c r="D747" s="22"/>
    </row>
    <row r="748" spans="1:4" x14ac:dyDescent="0.3">
      <c r="A748" s="2"/>
      <c r="B748" s="2"/>
      <c r="C748" s="2"/>
      <c r="D748" s="22"/>
    </row>
    <row r="749" spans="1:4" x14ac:dyDescent="0.3">
      <c r="A749" s="2"/>
      <c r="B749" s="2"/>
      <c r="C749" s="2"/>
      <c r="D749" s="22"/>
    </row>
    <row r="750" spans="1:4" x14ac:dyDescent="0.3">
      <c r="A750" s="2"/>
      <c r="B750" s="2"/>
      <c r="C750" s="2"/>
      <c r="D750" s="22"/>
    </row>
    <row r="751" spans="1:4" x14ac:dyDescent="0.3">
      <c r="A751" s="2"/>
      <c r="B751" s="2"/>
      <c r="C751" s="2"/>
      <c r="D751" s="22"/>
    </row>
    <row r="752" spans="1:4" x14ac:dyDescent="0.3">
      <c r="A752" s="2"/>
      <c r="B752" s="2"/>
      <c r="C752" s="2"/>
      <c r="D752" s="22"/>
    </row>
    <row r="753" spans="1:4" x14ac:dyDescent="0.3">
      <c r="A753" s="2"/>
      <c r="B753" s="2"/>
      <c r="C753" s="2"/>
      <c r="D753" s="22"/>
    </row>
    <row r="754" spans="1:4" x14ac:dyDescent="0.3">
      <c r="A754" s="2"/>
      <c r="B754" s="2"/>
      <c r="C754" s="2"/>
      <c r="D754" s="22"/>
    </row>
    <row r="755" spans="1:4" x14ac:dyDescent="0.3">
      <c r="A755" s="2"/>
      <c r="B755" s="2"/>
      <c r="C755" s="2"/>
      <c r="D755" s="22"/>
    </row>
    <row r="756" spans="1:4" x14ac:dyDescent="0.3">
      <c r="A756" s="2"/>
      <c r="B756" s="2"/>
      <c r="C756" s="2"/>
      <c r="D756" s="22"/>
    </row>
    <row r="757" spans="1:4" x14ac:dyDescent="0.3">
      <c r="A757" s="2"/>
      <c r="B757" s="2"/>
      <c r="C757" s="2"/>
      <c r="D757" s="22"/>
    </row>
    <row r="758" spans="1:4" x14ac:dyDescent="0.3">
      <c r="A758" s="2"/>
      <c r="B758" s="2"/>
      <c r="C758" s="2"/>
      <c r="D758" s="22"/>
    </row>
    <row r="759" spans="1:4" x14ac:dyDescent="0.3">
      <c r="A759" s="2"/>
      <c r="B759" s="2"/>
      <c r="C759" s="2"/>
      <c r="D759" s="22"/>
    </row>
    <row r="760" spans="1:4" x14ac:dyDescent="0.3">
      <c r="A760" s="2"/>
      <c r="B760" s="2"/>
      <c r="C760" s="2"/>
      <c r="D760" s="22"/>
    </row>
    <row r="761" spans="1:4" x14ac:dyDescent="0.3">
      <c r="A761" s="2"/>
      <c r="B761" s="2"/>
      <c r="C761" s="2"/>
      <c r="D761" s="22"/>
    </row>
    <row r="762" spans="1:4" x14ac:dyDescent="0.3">
      <c r="A762" s="2"/>
      <c r="B762" s="2"/>
      <c r="C762" s="2"/>
      <c r="D762" s="22"/>
    </row>
    <row r="763" spans="1:4" x14ac:dyDescent="0.3">
      <c r="A763" s="2"/>
      <c r="B763" s="2"/>
      <c r="C763" s="2"/>
      <c r="D763" s="22"/>
    </row>
    <row r="764" spans="1:4" x14ac:dyDescent="0.3">
      <c r="A764" s="2"/>
      <c r="B764" s="2"/>
      <c r="C764" s="2"/>
      <c r="D764" s="22"/>
    </row>
    <row r="765" spans="1:4" x14ac:dyDescent="0.3">
      <c r="A765" s="2"/>
      <c r="B765" s="2"/>
      <c r="C765" s="2"/>
      <c r="D765" s="22"/>
    </row>
    <row r="766" spans="1:4" x14ac:dyDescent="0.3">
      <c r="A766" s="2"/>
      <c r="B766" s="2"/>
      <c r="C766" s="2"/>
      <c r="D766" s="22"/>
    </row>
    <row r="767" spans="1:4" x14ac:dyDescent="0.3">
      <c r="A767" s="2"/>
      <c r="B767" s="2"/>
      <c r="C767" s="2"/>
      <c r="D767" s="22"/>
    </row>
    <row r="768" spans="1:4" x14ac:dyDescent="0.3">
      <c r="A768" s="2"/>
      <c r="B768" s="2"/>
      <c r="C768" s="2"/>
      <c r="D768" s="22"/>
    </row>
    <row r="769" spans="1:4" x14ac:dyDescent="0.3">
      <c r="A769" s="2"/>
      <c r="B769" s="2"/>
      <c r="C769" s="2"/>
      <c r="D769" s="22"/>
    </row>
    <row r="770" spans="1:4" x14ac:dyDescent="0.3">
      <c r="A770" s="2"/>
      <c r="B770" s="2"/>
      <c r="C770" s="2"/>
      <c r="D770" s="22"/>
    </row>
    <row r="771" spans="1:4" x14ac:dyDescent="0.3">
      <c r="A771" s="2"/>
      <c r="B771" s="2"/>
      <c r="C771" s="2"/>
      <c r="D771" s="22"/>
    </row>
    <row r="772" spans="1:4" x14ac:dyDescent="0.3">
      <c r="A772" s="2"/>
      <c r="B772" s="2"/>
      <c r="C772" s="2"/>
      <c r="D772" s="22"/>
    </row>
    <row r="773" spans="1:4" x14ac:dyDescent="0.3">
      <c r="A773" s="2"/>
      <c r="B773" s="2"/>
      <c r="C773" s="2"/>
      <c r="D773" s="22"/>
    </row>
    <row r="774" spans="1:4" x14ac:dyDescent="0.3">
      <c r="A774" s="2"/>
      <c r="B774" s="2"/>
      <c r="C774" s="2"/>
      <c r="D774" s="22"/>
    </row>
    <row r="775" spans="1:4" x14ac:dyDescent="0.3">
      <c r="A775" s="2"/>
      <c r="B775" s="2"/>
      <c r="C775" s="2"/>
      <c r="D775" s="22"/>
    </row>
    <row r="776" spans="1:4" x14ac:dyDescent="0.3">
      <c r="A776" s="2"/>
      <c r="B776" s="2"/>
      <c r="C776" s="2"/>
      <c r="D776" s="22"/>
    </row>
    <row r="777" spans="1:4" x14ac:dyDescent="0.3">
      <c r="A777" s="2"/>
      <c r="B777" s="2"/>
      <c r="C777" s="2"/>
      <c r="D777" s="22"/>
    </row>
    <row r="778" spans="1:4" x14ac:dyDescent="0.3">
      <c r="A778" s="2"/>
      <c r="B778" s="2"/>
      <c r="C778" s="2"/>
      <c r="D778" s="22"/>
    </row>
    <row r="779" spans="1:4" x14ac:dyDescent="0.3">
      <c r="A779" s="2"/>
      <c r="B779" s="2"/>
      <c r="C779" s="2"/>
      <c r="D779" s="22"/>
    </row>
    <row r="780" spans="1:4" x14ac:dyDescent="0.3">
      <c r="A780" s="2"/>
      <c r="B780" s="2"/>
      <c r="C780" s="2"/>
      <c r="D780" s="22"/>
    </row>
    <row r="781" spans="1:4" x14ac:dyDescent="0.3">
      <c r="A781" s="2"/>
      <c r="B781" s="2"/>
      <c r="C781" s="2"/>
      <c r="D781" s="22"/>
    </row>
    <row r="782" spans="1:4" x14ac:dyDescent="0.3">
      <c r="A782" s="2"/>
      <c r="B782" s="2"/>
      <c r="C782" s="2"/>
      <c r="D782" s="22"/>
    </row>
    <row r="783" spans="1:4" x14ac:dyDescent="0.3">
      <c r="A783" s="2"/>
      <c r="B783" s="2"/>
      <c r="C783" s="2"/>
      <c r="D783" s="22"/>
    </row>
    <row r="784" spans="1:4" x14ac:dyDescent="0.3">
      <c r="A784" s="2"/>
      <c r="B784" s="2"/>
      <c r="C784" s="2"/>
      <c r="D784" s="22"/>
    </row>
    <row r="785" spans="1:4" x14ac:dyDescent="0.3">
      <c r="A785" s="2"/>
      <c r="B785" s="2"/>
      <c r="C785" s="2"/>
      <c r="D785" s="22"/>
    </row>
    <row r="786" spans="1:4" x14ac:dyDescent="0.3">
      <c r="A786" s="2"/>
      <c r="B786" s="2"/>
      <c r="C786" s="2"/>
      <c r="D786" s="22"/>
    </row>
    <row r="787" spans="1:4" x14ac:dyDescent="0.3">
      <c r="A787" s="2"/>
      <c r="B787" s="2"/>
      <c r="C787" s="2"/>
      <c r="D787" s="22"/>
    </row>
    <row r="788" spans="1:4" x14ac:dyDescent="0.3">
      <c r="A788" s="2"/>
      <c r="B788" s="2"/>
      <c r="C788" s="2"/>
      <c r="D788" s="22"/>
    </row>
    <row r="789" spans="1:4" x14ac:dyDescent="0.3">
      <c r="A789" s="2"/>
      <c r="B789" s="2"/>
      <c r="C789" s="2"/>
      <c r="D789" s="22"/>
    </row>
    <row r="790" spans="1:4" x14ac:dyDescent="0.3">
      <c r="A790" s="2"/>
      <c r="B790" s="2"/>
      <c r="C790" s="2"/>
      <c r="D790" s="22"/>
    </row>
    <row r="791" spans="1:4" x14ac:dyDescent="0.3">
      <c r="A791" s="2"/>
      <c r="B791" s="2"/>
      <c r="C791" s="2"/>
      <c r="D791" s="22"/>
    </row>
    <row r="792" spans="1:4" x14ac:dyDescent="0.3">
      <c r="A792" s="2"/>
      <c r="B792" s="2"/>
      <c r="C792" s="2"/>
      <c r="D792" s="22"/>
    </row>
    <row r="793" spans="1:4" x14ac:dyDescent="0.3">
      <c r="A793" s="2"/>
      <c r="B793" s="2"/>
      <c r="C793" s="2"/>
      <c r="D793" s="22"/>
    </row>
    <row r="794" spans="1:4" x14ac:dyDescent="0.3">
      <c r="A794" s="2"/>
      <c r="B794" s="2"/>
      <c r="C794" s="2"/>
      <c r="D794" s="22"/>
    </row>
    <row r="795" spans="1:4" x14ac:dyDescent="0.3">
      <c r="A795" s="2"/>
      <c r="B795" s="2"/>
      <c r="C795" s="2"/>
      <c r="D795" s="22"/>
    </row>
    <row r="796" spans="1:4" x14ac:dyDescent="0.3">
      <c r="A796" s="2"/>
      <c r="B796" s="2"/>
      <c r="C796" s="2"/>
      <c r="D796" s="22"/>
    </row>
    <row r="797" spans="1:4" x14ac:dyDescent="0.3">
      <c r="A797" s="2"/>
      <c r="B797" s="2"/>
      <c r="C797" s="2"/>
      <c r="D797" s="22"/>
    </row>
    <row r="798" spans="1:4" x14ac:dyDescent="0.3">
      <c r="A798" s="2"/>
      <c r="B798" s="2"/>
      <c r="C798" s="2"/>
      <c r="D798" s="22"/>
    </row>
    <row r="799" spans="1:4" x14ac:dyDescent="0.3">
      <c r="A799" s="2"/>
      <c r="B799" s="2"/>
      <c r="C799" s="2"/>
      <c r="D799" s="22"/>
    </row>
    <row r="800" spans="1:4" x14ac:dyDescent="0.3">
      <c r="A800" s="2"/>
      <c r="B800" s="2"/>
      <c r="C800" s="2"/>
      <c r="D800" s="22"/>
    </row>
    <row r="801" spans="1:4" x14ac:dyDescent="0.3">
      <c r="A801" s="2"/>
      <c r="B801" s="2"/>
      <c r="C801" s="2"/>
      <c r="D801" s="22"/>
    </row>
    <row r="802" spans="1:4" x14ac:dyDescent="0.3">
      <c r="A802" s="2"/>
      <c r="B802" s="2"/>
      <c r="C802" s="2"/>
      <c r="D802" s="22"/>
    </row>
    <row r="803" spans="1:4" x14ac:dyDescent="0.3">
      <c r="A803" s="2"/>
      <c r="B803" s="2"/>
      <c r="C803" s="2"/>
      <c r="D803" s="22"/>
    </row>
    <row r="804" spans="1:4" x14ac:dyDescent="0.3">
      <c r="A804" s="2"/>
      <c r="B804" s="2"/>
      <c r="C804" s="2"/>
      <c r="D804" s="22"/>
    </row>
    <row r="805" spans="1:4" x14ac:dyDescent="0.3">
      <c r="A805" s="2"/>
      <c r="B805" s="2"/>
      <c r="C805" s="2"/>
      <c r="D805" s="22"/>
    </row>
    <row r="806" spans="1:4" x14ac:dyDescent="0.3">
      <c r="A806" s="2"/>
      <c r="B806" s="2"/>
      <c r="C806" s="2"/>
      <c r="D806" s="22"/>
    </row>
    <row r="807" spans="1:4" x14ac:dyDescent="0.3">
      <c r="A807" s="2"/>
      <c r="B807" s="2"/>
      <c r="C807" s="2"/>
      <c r="D807" s="22"/>
    </row>
    <row r="808" spans="1:4" x14ac:dyDescent="0.3">
      <c r="A808" s="2"/>
      <c r="B808" s="2"/>
      <c r="C808" s="2"/>
      <c r="D808" s="22"/>
    </row>
    <row r="809" spans="1:4" x14ac:dyDescent="0.3">
      <c r="A809" s="2"/>
      <c r="B809" s="2"/>
      <c r="C809" s="2"/>
      <c r="D809" s="22"/>
    </row>
    <row r="810" spans="1:4" x14ac:dyDescent="0.3">
      <c r="A810" s="2"/>
      <c r="B810" s="2"/>
      <c r="C810" s="2"/>
      <c r="D810" s="22"/>
    </row>
    <row r="811" spans="1:4" x14ac:dyDescent="0.3">
      <c r="A811" s="2"/>
      <c r="B811" s="2"/>
      <c r="C811" s="2"/>
      <c r="D811" s="22"/>
    </row>
    <row r="812" spans="1:4" x14ac:dyDescent="0.3">
      <c r="A812" s="2"/>
      <c r="B812" s="2"/>
      <c r="C812" s="2"/>
      <c r="D812" s="22"/>
    </row>
    <row r="813" spans="1:4" x14ac:dyDescent="0.3">
      <c r="A813" s="2"/>
      <c r="B813" s="2"/>
      <c r="C813" s="2"/>
      <c r="D813" s="22"/>
    </row>
    <row r="814" spans="1:4" x14ac:dyDescent="0.3">
      <c r="A814" s="2"/>
      <c r="B814" s="2"/>
      <c r="C814" s="2"/>
      <c r="D814" s="22"/>
    </row>
    <row r="815" spans="1:4" x14ac:dyDescent="0.3">
      <c r="A815" s="2"/>
      <c r="B815" s="2"/>
      <c r="C815" s="2"/>
      <c r="D815" s="22"/>
    </row>
    <row r="816" spans="1:4" x14ac:dyDescent="0.3">
      <c r="A816" s="2"/>
      <c r="B816" s="2"/>
      <c r="C816" s="2"/>
      <c r="D816" s="22"/>
    </row>
    <row r="817" spans="1:4" x14ac:dyDescent="0.3">
      <c r="A817" s="2"/>
      <c r="B817" s="2"/>
      <c r="C817" s="2"/>
      <c r="D817" s="22"/>
    </row>
    <row r="818" spans="1:4" x14ac:dyDescent="0.3">
      <c r="A818" s="2"/>
      <c r="B818" s="2"/>
      <c r="C818" s="2"/>
      <c r="D818" s="22"/>
    </row>
    <row r="819" spans="1:4" x14ac:dyDescent="0.3">
      <c r="A819" s="2"/>
      <c r="B819" s="2"/>
      <c r="C819" s="2"/>
      <c r="D819" s="22"/>
    </row>
    <row r="820" spans="1:4" x14ac:dyDescent="0.3">
      <c r="A820" s="2"/>
      <c r="B820" s="2"/>
      <c r="C820" s="2"/>
      <c r="D820" s="22"/>
    </row>
    <row r="821" spans="1:4" x14ac:dyDescent="0.3">
      <c r="A821" s="2"/>
      <c r="B821" s="2"/>
      <c r="C821" s="2"/>
      <c r="D821" s="22"/>
    </row>
    <row r="822" spans="1:4" x14ac:dyDescent="0.3">
      <c r="A822" s="2"/>
      <c r="B822" s="2"/>
      <c r="C822" s="2"/>
      <c r="D822" s="22"/>
    </row>
    <row r="823" spans="1:4" x14ac:dyDescent="0.3">
      <c r="A823" s="2"/>
      <c r="B823" s="2"/>
      <c r="C823" s="2"/>
      <c r="D823" s="22"/>
    </row>
    <row r="824" spans="1:4" x14ac:dyDescent="0.3">
      <c r="A824" s="2"/>
      <c r="B824" s="2"/>
      <c r="C824" s="2"/>
      <c r="D824" s="22"/>
    </row>
    <row r="825" spans="1:4" x14ac:dyDescent="0.3">
      <c r="A825" s="2"/>
      <c r="B825" s="2"/>
      <c r="C825" s="2"/>
      <c r="D825" s="22"/>
    </row>
    <row r="826" spans="1:4" x14ac:dyDescent="0.3">
      <c r="A826" s="2"/>
      <c r="B826" s="2"/>
      <c r="C826" s="2"/>
      <c r="D826" s="22"/>
    </row>
    <row r="827" spans="1:4" x14ac:dyDescent="0.3">
      <c r="A827" s="2"/>
      <c r="B827" s="2"/>
      <c r="C827" s="2"/>
      <c r="D827" s="22"/>
    </row>
    <row r="828" spans="1:4" x14ac:dyDescent="0.3">
      <c r="A828" s="2"/>
      <c r="B828" s="2"/>
      <c r="C828" s="2"/>
      <c r="D828" s="22"/>
    </row>
    <row r="829" spans="1:4" x14ac:dyDescent="0.3">
      <c r="A829" s="2"/>
      <c r="B829" s="2"/>
      <c r="C829" s="2"/>
      <c r="D829" s="22"/>
    </row>
    <row r="830" spans="1:4" x14ac:dyDescent="0.3">
      <c r="A830" s="2"/>
      <c r="B830" s="2"/>
      <c r="C830" s="2"/>
      <c r="D830" s="22"/>
    </row>
    <row r="831" spans="1:4" x14ac:dyDescent="0.3">
      <c r="A831" s="2"/>
      <c r="B831" s="2"/>
      <c r="C831" s="2"/>
      <c r="D831" s="22"/>
    </row>
    <row r="832" spans="1:4" x14ac:dyDescent="0.3">
      <c r="A832" s="2"/>
      <c r="B832" s="2"/>
      <c r="C832" s="2"/>
      <c r="D832" s="22"/>
    </row>
    <row r="833" spans="1:4" x14ac:dyDescent="0.3">
      <c r="A833" s="2"/>
      <c r="B833" s="2"/>
      <c r="C833" s="2"/>
      <c r="D833" s="22"/>
    </row>
    <row r="834" spans="1:4" x14ac:dyDescent="0.3">
      <c r="A834" s="2"/>
      <c r="B834" s="2"/>
      <c r="C834" s="2"/>
      <c r="D834" s="22"/>
    </row>
    <row r="835" spans="1:4" x14ac:dyDescent="0.3">
      <c r="A835" s="2"/>
      <c r="B835" s="2"/>
      <c r="C835" s="2"/>
      <c r="D835" s="22"/>
    </row>
    <row r="836" spans="1:4" x14ac:dyDescent="0.3">
      <c r="A836" s="2"/>
      <c r="B836" s="2"/>
      <c r="C836" s="2"/>
      <c r="D836" s="22"/>
    </row>
    <row r="837" spans="1:4" x14ac:dyDescent="0.3">
      <c r="A837" s="2"/>
      <c r="B837" s="2"/>
      <c r="C837" s="2"/>
      <c r="D837" s="22"/>
    </row>
    <row r="838" spans="1:4" x14ac:dyDescent="0.3">
      <c r="A838" s="2"/>
      <c r="B838" s="2"/>
      <c r="C838" s="2"/>
      <c r="D838" s="22"/>
    </row>
    <row r="839" spans="1:4" x14ac:dyDescent="0.3">
      <c r="A839" s="2"/>
      <c r="B839" s="2"/>
      <c r="C839" s="2"/>
      <c r="D839" s="22"/>
    </row>
    <row r="840" spans="1:4" x14ac:dyDescent="0.3">
      <c r="A840" s="2"/>
      <c r="B840" s="2"/>
      <c r="C840" s="2"/>
      <c r="D840" s="22"/>
    </row>
    <row r="841" spans="1:4" x14ac:dyDescent="0.3">
      <c r="A841" s="2"/>
      <c r="B841" s="2"/>
      <c r="C841" s="2"/>
      <c r="D841" s="22"/>
    </row>
    <row r="842" spans="1:4" x14ac:dyDescent="0.3">
      <c r="A842" s="2"/>
      <c r="B842" s="2"/>
      <c r="C842" s="2"/>
      <c r="D842" s="22"/>
    </row>
    <row r="843" spans="1:4" x14ac:dyDescent="0.3">
      <c r="A843" s="2"/>
      <c r="B843" s="2"/>
      <c r="C843" s="2"/>
      <c r="D843" s="22"/>
    </row>
    <row r="844" spans="1:4" x14ac:dyDescent="0.3">
      <c r="A844" s="2"/>
      <c r="B844" s="2"/>
      <c r="C844" s="2"/>
      <c r="D844" s="22"/>
    </row>
    <row r="845" spans="1:4" x14ac:dyDescent="0.3">
      <c r="A845" s="2"/>
      <c r="B845" s="2"/>
      <c r="C845" s="2"/>
      <c r="D845" s="22"/>
    </row>
    <row r="846" spans="1:4" x14ac:dyDescent="0.3">
      <c r="A846" s="2"/>
      <c r="B846" s="2"/>
      <c r="C846" s="2"/>
      <c r="D846" s="22"/>
    </row>
    <row r="847" spans="1:4" x14ac:dyDescent="0.3">
      <c r="A847" s="2"/>
      <c r="B847" s="2"/>
      <c r="C847" s="2"/>
      <c r="D847" s="22"/>
    </row>
    <row r="848" spans="1:4" x14ac:dyDescent="0.3">
      <c r="A848" s="2"/>
      <c r="B848" s="2"/>
      <c r="C848" s="2"/>
      <c r="D848" s="22"/>
    </row>
    <row r="849" spans="1:4" x14ac:dyDescent="0.3">
      <c r="A849" s="2"/>
      <c r="B849" s="2"/>
      <c r="C849" s="2"/>
      <c r="D849" s="22"/>
    </row>
    <row r="850" spans="1:4" x14ac:dyDescent="0.3">
      <c r="A850" s="2"/>
      <c r="B850" s="2"/>
      <c r="C850" s="2"/>
      <c r="D850" s="22"/>
    </row>
    <row r="851" spans="1:4" x14ac:dyDescent="0.3">
      <c r="A851" s="2"/>
      <c r="B851" s="2"/>
      <c r="C851" s="2"/>
      <c r="D851" s="22"/>
    </row>
    <row r="852" spans="1:4" x14ac:dyDescent="0.3">
      <c r="A852" s="2"/>
      <c r="B852" s="2"/>
      <c r="C852" s="2"/>
      <c r="D852" s="22"/>
    </row>
    <row r="853" spans="1:4" x14ac:dyDescent="0.3">
      <c r="A853" s="2"/>
      <c r="B853" s="2"/>
      <c r="C853" s="2"/>
      <c r="D853" s="22"/>
    </row>
    <row r="854" spans="1:4" x14ac:dyDescent="0.3">
      <c r="A854" s="2"/>
      <c r="B854" s="2"/>
      <c r="C854" s="2"/>
      <c r="D854" s="22"/>
    </row>
    <row r="855" spans="1:4" x14ac:dyDescent="0.3">
      <c r="A855" s="2"/>
      <c r="B855" s="2"/>
      <c r="C855" s="2"/>
      <c r="D855" s="22"/>
    </row>
    <row r="856" spans="1:4" x14ac:dyDescent="0.3">
      <c r="A856" s="2"/>
      <c r="B856" s="2"/>
      <c r="C856" s="2"/>
      <c r="D856" s="22"/>
    </row>
    <row r="857" spans="1:4" x14ac:dyDescent="0.3">
      <c r="A857" s="2"/>
      <c r="B857" s="2"/>
      <c r="C857" s="2"/>
      <c r="D857" s="22"/>
    </row>
    <row r="858" spans="1:4" x14ac:dyDescent="0.3">
      <c r="A858" s="2"/>
      <c r="B858" s="2"/>
      <c r="C858" s="2"/>
      <c r="D858" s="22"/>
    </row>
    <row r="859" spans="1:4" x14ac:dyDescent="0.3">
      <c r="A859" s="2"/>
      <c r="B859" s="2"/>
      <c r="C859" s="2"/>
      <c r="D859" s="22"/>
    </row>
    <row r="860" spans="1:4" x14ac:dyDescent="0.3">
      <c r="A860" s="2"/>
      <c r="B860" s="2"/>
      <c r="C860" s="2"/>
      <c r="D860" s="22"/>
    </row>
    <row r="861" spans="1:4" x14ac:dyDescent="0.3">
      <c r="A861" s="2"/>
      <c r="B861" s="2"/>
      <c r="C861" s="2"/>
      <c r="D861" s="22"/>
    </row>
    <row r="862" spans="1:4" x14ac:dyDescent="0.3">
      <c r="A862" s="2"/>
      <c r="B862" s="2"/>
      <c r="C862" s="2"/>
      <c r="D862" s="22"/>
    </row>
    <row r="863" spans="1:4" x14ac:dyDescent="0.3">
      <c r="A863" s="2"/>
      <c r="B863" s="2"/>
      <c r="C863" s="2"/>
      <c r="D863" s="22"/>
    </row>
    <row r="864" spans="1:4" x14ac:dyDescent="0.3">
      <c r="A864" s="2"/>
      <c r="B864" s="2"/>
      <c r="C864" s="2"/>
      <c r="D864" s="22"/>
    </row>
    <row r="865" spans="1:4" x14ac:dyDescent="0.3">
      <c r="A865" s="2"/>
      <c r="B865" s="2"/>
      <c r="C865" s="2"/>
      <c r="D865" s="22"/>
    </row>
    <row r="866" spans="1:4" x14ac:dyDescent="0.3">
      <c r="A866" s="2"/>
      <c r="B866" s="2"/>
      <c r="C866" s="2"/>
      <c r="D866" s="22"/>
    </row>
    <row r="867" spans="1:4" x14ac:dyDescent="0.3">
      <c r="A867" s="2"/>
      <c r="B867" s="2"/>
      <c r="C867" s="2"/>
      <c r="D867" s="22"/>
    </row>
    <row r="868" spans="1:4" x14ac:dyDescent="0.3">
      <c r="A868" s="2"/>
      <c r="B868" s="2"/>
      <c r="C868" s="2"/>
      <c r="D868" s="22"/>
    </row>
    <row r="869" spans="1:4" x14ac:dyDescent="0.3">
      <c r="A869" s="2"/>
      <c r="B869" s="2"/>
      <c r="C869" s="2"/>
      <c r="D869" s="22"/>
    </row>
    <row r="870" spans="1:4" x14ac:dyDescent="0.3">
      <c r="A870" s="2"/>
      <c r="B870" s="2"/>
      <c r="C870" s="2"/>
      <c r="D870" s="22"/>
    </row>
    <row r="871" spans="1:4" x14ac:dyDescent="0.3">
      <c r="A871" s="2"/>
      <c r="B871" s="2"/>
      <c r="C871" s="2"/>
      <c r="D871" s="22"/>
    </row>
    <row r="872" spans="1:4" x14ac:dyDescent="0.3">
      <c r="A872" s="2"/>
      <c r="B872" s="2"/>
      <c r="C872" s="2"/>
      <c r="D872" s="22"/>
    </row>
    <row r="873" spans="1:4" x14ac:dyDescent="0.3">
      <c r="A873" s="2"/>
      <c r="B873" s="2"/>
      <c r="C873" s="2"/>
      <c r="D873" s="22"/>
    </row>
    <row r="874" spans="1:4" x14ac:dyDescent="0.3">
      <c r="A874" s="2"/>
      <c r="B874" s="2"/>
      <c r="C874" s="2"/>
      <c r="D874" s="22"/>
    </row>
    <row r="875" spans="1:4" x14ac:dyDescent="0.3">
      <c r="A875" s="2"/>
      <c r="B875" s="2"/>
      <c r="C875" s="2"/>
      <c r="D875" s="22"/>
    </row>
    <row r="876" spans="1:4" x14ac:dyDescent="0.3">
      <c r="A876" s="2"/>
      <c r="B876" s="2"/>
      <c r="C876" s="2"/>
      <c r="D876" s="22"/>
    </row>
    <row r="877" spans="1:4" x14ac:dyDescent="0.3">
      <c r="A877" s="2"/>
      <c r="B877" s="2"/>
      <c r="C877" s="2"/>
      <c r="D877" s="22"/>
    </row>
    <row r="878" spans="1:4" x14ac:dyDescent="0.3">
      <c r="A878" s="2"/>
      <c r="B878" s="2"/>
      <c r="C878" s="2"/>
      <c r="D878" s="22"/>
    </row>
    <row r="879" spans="1:4" x14ac:dyDescent="0.3">
      <c r="A879" s="2"/>
      <c r="B879" s="2"/>
      <c r="C879" s="2"/>
      <c r="D879" s="22"/>
    </row>
    <row r="880" spans="1:4" x14ac:dyDescent="0.3">
      <c r="A880" s="2"/>
      <c r="B880" s="2"/>
      <c r="C880" s="2"/>
      <c r="D880" s="22"/>
    </row>
    <row r="881" spans="1:4" x14ac:dyDescent="0.3">
      <c r="A881" s="2"/>
      <c r="B881" s="2"/>
      <c r="C881" s="2"/>
      <c r="D881" s="22"/>
    </row>
    <row r="882" spans="1:4" x14ac:dyDescent="0.3">
      <c r="A882" s="2"/>
      <c r="B882" s="2"/>
      <c r="C882" s="2"/>
      <c r="D882" s="22"/>
    </row>
    <row r="883" spans="1:4" x14ac:dyDescent="0.3">
      <c r="A883" s="2"/>
      <c r="B883" s="2"/>
      <c r="C883" s="2"/>
      <c r="D883" s="22"/>
    </row>
    <row r="884" spans="1:4" x14ac:dyDescent="0.3">
      <c r="A884" s="2"/>
      <c r="B884" s="2"/>
      <c r="C884" s="2"/>
      <c r="D884" s="22"/>
    </row>
    <row r="885" spans="1:4" x14ac:dyDescent="0.3">
      <c r="A885" s="2"/>
      <c r="B885" s="2"/>
      <c r="C885" s="2"/>
      <c r="D885" s="22"/>
    </row>
    <row r="886" spans="1:4" x14ac:dyDescent="0.3">
      <c r="A886" s="2"/>
      <c r="B886" s="2"/>
      <c r="C886" s="2"/>
      <c r="D886" s="22"/>
    </row>
    <row r="887" spans="1:4" x14ac:dyDescent="0.3">
      <c r="A887" s="2"/>
      <c r="B887" s="2"/>
      <c r="C887" s="2"/>
      <c r="D887" s="22"/>
    </row>
    <row r="888" spans="1:4" x14ac:dyDescent="0.3">
      <c r="A888" s="2"/>
      <c r="B888" s="2"/>
      <c r="C888" s="2"/>
      <c r="D888" s="22"/>
    </row>
    <row r="889" spans="1:4" x14ac:dyDescent="0.3">
      <c r="A889" s="2"/>
      <c r="B889" s="2"/>
      <c r="C889" s="2"/>
      <c r="D889" s="22"/>
    </row>
    <row r="890" spans="1:4" x14ac:dyDescent="0.3">
      <c r="A890" s="2"/>
      <c r="B890" s="2"/>
      <c r="C890" s="2"/>
      <c r="D890" s="22"/>
    </row>
    <row r="891" spans="1:4" x14ac:dyDescent="0.3">
      <c r="A891" s="2"/>
      <c r="B891" s="2"/>
      <c r="C891" s="2"/>
      <c r="D891" s="22"/>
    </row>
    <row r="892" spans="1:4" x14ac:dyDescent="0.3">
      <c r="A892" s="2"/>
      <c r="B892" s="2"/>
      <c r="C892" s="2"/>
      <c r="D892" s="22"/>
    </row>
    <row r="893" spans="1:4" x14ac:dyDescent="0.3">
      <c r="A893" s="2"/>
      <c r="B893" s="2"/>
      <c r="C893" s="2"/>
      <c r="D893" s="22"/>
    </row>
    <row r="894" spans="1:4" x14ac:dyDescent="0.3">
      <c r="A894" s="2"/>
      <c r="B894" s="2"/>
      <c r="C894" s="2"/>
      <c r="D894" s="22"/>
    </row>
    <row r="895" spans="1:4" x14ac:dyDescent="0.3">
      <c r="A895" s="2"/>
      <c r="B895" s="2"/>
      <c r="C895" s="2"/>
      <c r="D895" s="22"/>
    </row>
    <row r="896" spans="1:4" x14ac:dyDescent="0.3">
      <c r="A896" s="2"/>
      <c r="B896" s="2"/>
      <c r="C896" s="2"/>
      <c r="D896" s="22"/>
    </row>
    <row r="897" spans="1:4" x14ac:dyDescent="0.3">
      <c r="A897" s="2"/>
      <c r="B897" s="2"/>
      <c r="C897" s="2"/>
      <c r="D897" s="22"/>
    </row>
    <row r="898" spans="1:4" x14ac:dyDescent="0.3">
      <c r="A898" s="2"/>
      <c r="B898" s="2"/>
      <c r="C898" s="2"/>
      <c r="D898" s="22"/>
    </row>
    <row r="899" spans="1:4" x14ac:dyDescent="0.3">
      <c r="A899" s="2"/>
      <c r="B899" s="2"/>
      <c r="C899" s="2"/>
      <c r="D899" s="22"/>
    </row>
    <row r="900" spans="1:4" x14ac:dyDescent="0.3">
      <c r="A900" s="2"/>
      <c r="B900" s="2"/>
      <c r="C900" s="2"/>
      <c r="D900" s="22"/>
    </row>
    <row r="901" spans="1:4" x14ac:dyDescent="0.3">
      <c r="A901" s="2"/>
      <c r="B901" s="2"/>
      <c r="C901" s="2"/>
      <c r="D901" s="22"/>
    </row>
    <row r="902" spans="1:4" x14ac:dyDescent="0.3">
      <c r="A902" s="2"/>
      <c r="B902" s="2"/>
      <c r="C902" s="2"/>
      <c r="D902" s="22"/>
    </row>
    <row r="903" spans="1:4" x14ac:dyDescent="0.3">
      <c r="A903" s="2"/>
      <c r="B903" s="2"/>
      <c r="C903" s="2"/>
      <c r="D903" s="22"/>
    </row>
    <row r="904" spans="1:4" x14ac:dyDescent="0.3">
      <c r="A904" s="2"/>
      <c r="B904" s="2"/>
      <c r="C904" s="2"/>
      <c r="D904" s="22"/>
    </row>
    <row r="905" spans="1:4" x14ac:dyDescent="0.3">
      <c r="A905" s="2"/>
      <c r="B905" s="2"/>
      <c r="C905" s="2"/>
      <c r="D905" s="22"/>
    </row>
    <row r="906" spans="1:4" x14ac:dyDescent="0.3">
      <c r="A906" s="2"/>
      <c r="B906" s="2"/>
      <c r="C906" s="2"/>
      <c r="D906" s="22"/>
    </row>
    <row r="907" spans="1:4" x14ac:dyDescent="0.3">
      <c r="A907" s="2"/>
      <c r="B907" s="2"/>
      <c r="C907" s="2"/>
      <c r="D907" s="22"/>
    </row>
    <row r="908" spans="1:4" x14ac:dyDescent="0.3">
      <c r="A908" s="2"/>
      <c r="B908" s="2"/>
      <c r="C908" s="2"/>
      <c r="D908" s="22"/>
    </row>
    <row r="909" spans="1:4" x14ac:dyDescent="0.3">
      <c r="A909" s="2"/>
      <c r="B909" s="2"/>
      <c r="C909" s="2"/>
      <c r="D909" s="22"/>
    </row>
    <row r="910" spans="1:4" x14ac:dyDescent="0.3">
      <c r="A910" s="2"/>
      <c r="B910" s="2"/>
      <c r="C910" s="2"/>
      <c r="D910" s="22"/>
    </row>
    <row r="911" spans="1:4" x14ac:dyDescent="0.3">
      <c r="A911" s="2"/>
      <c r="B911" s="2"/>
      <c r="C911" s="2"/>
      <c r="D911" s="22"/>
    </row>
    <row r="912" spans="1:4" x14ac:dyDescent="0.3">
      <c r="A912" s="2"/>
      <c r="B912" s="2"/>
      <c r="C912" s="2"/>
      <c r="D912" s="22"/>
    </row>
    <row r="913" spans="1:4" x14ac:dyDescent="0.3">
      <c r="A913" s="2"/>
      <c r="B913" s="2"/>
      <c r="C913" s="2"/>
      <c r="D913" s="22"/>
    </row>
    <row r="914" spans="1:4" x14ac:dyDescent="0.3">
      <c r="A914" s="2"/>
      <c r="B914" s="2"/>
      <c r="C914" s="2"/>
      <c r="D914" s="22"/>
    </row>
    <row r="915" spans="1:4" x14ac:dyDescent="0.3">
      <c r="A915" s="2"/>
      <c r="B915" s="2"/>
      <c r="C915" s="2"/>
      <c r="D915" s="22"/>
    </row>
    <row r="916" spans="1:4" x14ac:dyDescent="0.3">
      <c r="A916" s="2"/>
      <c r="B916" s="2"/>
      <c r="C916" s="2"/>
      <c r="D916" s="22"/>
    </row>
    <row r="917" spans="1:4" x14ac:dyDescent="0.3">
      <c r="A917" s="2"/>
      <c r="B917" s="2"/>
      <c r="C917" s="2"/>
      <c r="D917" s="22"/>
    </row>
    <row r="918" spans="1:4" x14ac:dyDescent="0.3">
      <c r="A918" s="2"/>
      <c r="B918" s="2"/>
      <c r="C918" s="2"/>
      <c r="D918" s="22"/>
    </row>
    <row r="919" spans="1:4" x14ac:dyDescent="0.3">
      <c r="A919" s="2"/>
      <c r="B919" s="2"/>
      <c r="C919" s="2"/>
      <c r="D919" s="22"/>
    </row>
    <row r="920" spans="1:4" x14ac:dyDescent="0.3">
      <c r="A920" s="2"/>
      <c r="B920" s="2"/>
      <c r="C920" s="2"/>
      <c r="D920" s="22"/>
    </row>
    <row r="921" spans="1:4" x14ac:dyDescent="0.3">
      <c r="A921" s="2"/>
      <c r="B921" s="2"/>
      <c r="C921" s="2"/>
      <c r="D921" s="22"/>
    </row>
    <row r="922" spans="1:4" x14ac:dyDescent="0.3">
      <c r="A922" s="2"/>
      <c r="B922" s="2"/>
      <c r="C922" s="2"/>
      <c r="D922" s="22"/>
    </row>
    <row r="923" spans="1:4" x14ac:dyDescent="0.3">
      <c r="A923" s="2"/>
      <c r="B923" s="2"/>
      <c r="C923" s="2"/>
      <c r="D923" s="22"/>
    </row>
    <row r="924" spans="1:4" x14ac:dyDescent="0.3">
      <c r="A924" s="2"/>
      <c r="B924" s="2"/>
      <c r="C924" s="2"/>
      <c r="D924" s="22"/>
    </row>
    <row r="925" spans="1:4" x14ac:dyDescent="0.3">
      <c r="A925" s="2"/>
      <c r="B925" s="2"/>
      <c r="C925" s="2"/>
      <c r="D925" s="22"/>
    </row>
    <row r="926" spans="1:4" x14ac:dyDescent="0.3">
      <c r="A926" s="2"/>
      <c r="B926" s="2"/>
      <c r="C926" s="2"/>
      <c r="D926" s="22"/>
    </row>
    <row r="927" spans="1:4" x14ac:dyDescent="0.3">
      <c r="A927" s="2"/>
      <c r="B927" s="2"/>
      <c r="C927" s="2"/>
      <c r="D927" s="22"/>
    </row>
    <row r="928" spans="1:4" x14ac:dyDescent="0.3">
      <c r="A928" s="2"/>
      <c r="B928" s="2"/>
      <c r="C928" s="2"/>
      <c r="D928" s="22"/>
    </row>
    <row r="929" spans="1:4" x14ac:dyDescent="0.3">
      <c r="A929" s="2"/>
      <c r="B929" s="2"/>
      <c r="C929" s="2"/>
      <c r="D929" s="22"/>
    </row>
    <row r="930" spans="1:4" x14ac:dyDescent="0.3">
      <c r="A930" s="2"/>
      <c r="B930" s="2"/>
      <c r="C930" s="2"/>
      <c r="D930" s="22"/>
    </row>
    <row r="931" spans="1:4" x14ac:dyDescent="0.3">
      <c r="A931" s="2"/>
      <c r="B931" s="2"/>
      <c r="C931" s="2"/>
      <c r="D931" s="22"/>
    </row>
    <row r="932" spans="1:4" x14ac:dyDescent="0.3">
      <c r="A932" s="2"/>
      <c r="B932" s="2"/>
      <c r="C932" s="2"/>
      <c r="D932" s="22"/>
    </row>
    <row r="933" spans="1:4" x14ac:dyDescent="0.3">
      <c r="A933" s="2"/>
      <c r="B933" s="2"/>
      <c r="C933" s="2"/>
      <c r="D933" s="22"/>
    </row>
    <row r="934" spans="1:4" x14ac:dyDescent="0.3">
      <c r="A934" s="2"/>
      <c r="B934" s="2"/>
      <c r="C934" s="2"/>
      <c r="D934" s="22"/>
    </row>
    <row r="935" spans="1:4" x14ac:dyDescent="0.3">
      <c r="A935" s="2"/>
      <c r="B935" s="2"/>
      <c r="C935" s="2"/>
      <c r="D935" s="22"/>
    </row>
    <row r="936" spans="1:4" x14ac:dyDescent="0.3">
      <c r="A936" s="2"/>
      <c r="B936" s="2"/>
      <c r="C936" s="2"/>
      <c r="D936" s="22"/>
    </row>
    <row r="937" spans="1:4" x14ac:dyDescent="0.3">
      <c r="A937" s="2"/>
      <c r="B937" s="2"/>
      <c r="C937" s="2"/>
      <c r="D937" s="22"/>
    </row>
    <row r="938" spans="1:4" x14ac:dyDescent="0.3">
      <c r="A938" s="2"/>
      <c r="B938" s="2"/>
      <c r="C938" s="2"/>
      <c r="D938" s="22"/>
    </row>
    <row r="939" spans="1:4" x14ac:dyDescent="0.3">
      <c r="A939" s="2"/>
      <c r="B939" s="2"/>
      <c r="C939" s="2"/>
      <c r="D939" s="22"/>
    </row>
    <row r="940" spans="1:4" x14ac:dyDescent="0.3">
      <c r="A940" s="2"/>
      <c r="B940" s="2"/>
      <c r="C940" s="2"/>
      <c r="D940" s="22"/>
    </row>
    <row r="941" spans="1:4" x14ac:dyDescent="0.3">
      <c r="A941" s="2"/>
      <c r="B941" s="2"/>
      <c r="C941" s="2"/>
      <c r="D941" s="22"/>
    </row>
    <row r="942" spans="1:4" x14ac:dyDescent="0.3">
      <c r="A942" s="2"/>
      <c r="B942" s="2"/>
      <c r="C942" s="2"/>
      <c r="D942" s="22"/>
    </row>
    <row r="943" spans="1:4" x14ac:dyDescent="0.3">
      <c r="A943" s="2"/>
      <c r="B943" s="2"/>
      <c r="C943" s="2"/>
      <c r="D943" s="22"/>
    </row>
    <row r="944" spans="1:4" x14ac:dyDescent="0.3">
      <c r="A944" s="2"/>
      <c r="B944" s="2"/>
      <c r="C944" s="2"/>
      <c r="D944" s="22"/>
    </row>
    <row r="945" spans="1:4" x14ac:dyDescent="0.3">
      <c r="A945" s="2"/>
      <c r="B945" s="2"/>
      <c r="C945" s="2"/>
      <c r="D945" s="22"/>
    </row>
    <row r="946" spans="1:4" x14ac:dyDescent="0.3">
      <c r="A946" s="2"/>
      <c r="B946" s="2"/>
      <c r="C946" s="2"/>
      <c r="D946" s="22"/>
    </row>
    <row r="947" spans="1:4" x14ac:dyDescent="0.3">
      <c r="A947" s="2"/>
      <c r="B947" s="2"/>
      <c r="C947" s="2"/>
      <c r="D947" s="22"/>
    </row>
    <row r="948" spans="1:4" x14ac:dyDescent="0.3">
      <c r="A948" s="2"/>
      <c r="B948" s="2"/>
      <c r="C948" s="2"/>
      <c r="D948" s="22"/>
    </row>
    <row r="949" spans="1:4" x14ac:dyDescent="0.3">
      <c r="A949" s="2"/>
      <c r="B949" s="2"/>
      <c r="C949" s="2"/>
      <c r="D949" s="22"/>
    </row>
    <row r="950" spans="1:4" x14ac:dyDescent="0.3">
      <c r="A950" s="2"/>
      <c r="B950" s="2"/>
      <c r="C950" s="2"/>
      <c r="D950" s="22"/>
    </row>
    <row r="951" spans="1:4" x14ac:dyDescent="0.3">
      <c r="A951" s="2"/>
      <c r="B951" s="2"/>
      <c r="C951" s="2"/>
      <c r="D951" s="22"/>
    </row>
    <row r="952" spans="1:4" x14ac:dyDescent="0.3">
      <c r="A952" s="2"/>
      <c r="B952" s="2"/>
      <c r="C952" s="2"/>
      <c r="D952" s="22"/>
    </row>
    <row r="953" spans="1:4" x14ac:dyDescent="0.3">
      <c r="A953" s="2"/>
      <c r="B953" s="2"/>
      <c r="C953" s="2"/>
      <c r="D953" s="22"/>
    </row>
    <row r="954" spans="1:4" x14ac:dyDescent="0.3">
      <c r="A954" s="2"/>
      <c r="B954" s="2"/>
      <c r="C954" s="2"/>
      <c r="D954" s="22"/>
    </row>
    <row r="955" spans="1:4" x14ac:dyDescent="0.3">
      <c r="A955" s="2"/>
      <c r="B955" s="2"/>
      <c r="C955" s="2"/>
      <c r="D955" s="22"/>
    </row>
    <row r="956" spans="1:4" x14ac:dyDescent="0.3">
      <c r="A956" s="2"/>
      <c r="B956" s="2"/>
      <c r="C956" s="2"/>
      <c r="D956" s="22"/>
    </row>
    <row r="957" spans="1:4" x14ac:dyDescent="0.3">
      <c r="A957" s="2"/>
      <c r="B957" s="2"/>
      <c r="C957" s="2"/>
      <c r="D957" s="22"/>
    </row>
    <row r="958" spans="1:4" x14ac:dyDescent="0.3">
      <c r="A958" s="2"/>
      <c r="B958" s="2"/>
      <c r="C958" s="2"/>
      <c r="D958" s="22"/>
    </row>
    <row r="959" spans="1:4" x14ac:dyDescent="0.3">
      <c r="A959" s="2"/>
      <c r="B959" s="2"/>
      <c r="C959" s="2"/>
      <c r="D959" s="22"/>
    </row>
    <row r="960" spans="1:4" x14ac:dyDescent="0.3">
      <c r="A960" s="2"/>
      <c r="B960" s="2"/>
      <c r="C960" s="2"/>
      <c r="D960" s="22"/>
    </row>
    <row r="961" spans="1:4" x14ac:dyDescent="0.3">
      <c r="A961" s="2"/>
      <c r="B961" s="2"/>
      <c r="C961" s="2"/>
      <c r="D961" s="22"/>
    </row>
    <row r="962" spans="1:4" x14ac:dyDescent="0.3">
      <c r="A962" s="2"/>
      <c r="B962" s="2"/>
      <c r="C962" s="2"/>
      <c r="D962" s="22"/>
    </row>
    <row r="963" spans="1:4" x14ac:dyDescent="0.3">
      <c r="A963" s="2"/>
      <c r="B963" s="2"/>
      <c r="C963" s="2"/>
      <c r="D963" s="22"/>
    </row>
    <row r="964" spans="1:4" x14ac:dyDescent="0.3">
      <c r="A964" s="2"/>
      <c r="B964" s="2"/>
      <c r="C964" s="2"/>
      <c r="D964" s="22"/>
    </row>
    <row r="965" spans="1:4" x14ac:dyDescent="0.3">
      <c r="A965" s="2"/>
      <c r="B965" s="2"/>
      <c r="C965" s="2"/>
      <c r="D965" s="22"/>
    </row>
    <row r="966" spans="1:4" x14ac:dyDescent="0.3">
      <c r="A966" s="2"/>
      <c r="B966" s="2"/>
      <c r="C966" s="2"/>
      <c r="D966" s="22"/>
    </row>
    <row r="967" spans="1:4" x14ac:dyDescent="0.3">
      <c r="A967" s="2"/>
      <c r="B967" s="2"/>
      <c r="C967" s="2"/>
      <c r="D967" s="22"/>
    </row>
    <row r="968" spans="1:4" x14ac:dyDescent="0.3">
      <c r="A968" s="2"/>
      <c r="B968" s="2"/>
      <c r="C968" s="2"/>
      <c r="D968" s="22"/>
    </row>
    <row r="969" spans="1:4" x14ac:dyDescent="0.3">
      <c r="A969" s="2"/>
      <c r="B969" s="2"/>
      <c r="C969" s="2"/>
      <c r="D969" s="22"/>
    </row>
    <row r="970" spans="1:4" x14ac:dyDescent="0.3">
      <c r="A970" s="2"/>
      <c r="B970" s="2"/>
      <c r="C970" s="2"/>
      <c r="D970" s="22"/>
    </row>
    <row r="971" spans="1:4" x14ac:dyDescent="0.3">
      <c r="A971" s="2"/>
      <c r="B971" s="2"/>
      <c r="C971" s="2"/>
      <c r="D971" s="22"/>
    </row>
    <row r="972" spans="1:4" x14ac:dyDescent="0.3">
      <c r="A972" s="2"/>
      <c r="B972" s="2"/>
      <c r="C972" s="2"/>
      <c r="D972" s="22"/>
    </row>
    <row r="973" spans="1:4" x14ac:dyDescent="0.3">
      <c r="A973" s="2"/>
      <c r="B973" s="2"/>
      <c r="C973" s="2"/>
      <c r="D973" s="22"/>
    </row>
    <row r="974" spans="1:4" x14ac:dyDescent="0.3">
      <c r="A974" s="2"/>
      <c r="B974" s="2"/>
      <c r="C974" s="2"/>
      <c r="D974" s="22"/>
    </row>
    <row r="975" spans="1:4" x14ac:dyDescent="0.3">
      <c r="A975" s="2"/>
      <c r="B975" s="2"/>
      <c r="C975" s="2"/>
      <c r="D975" s="22"/>
    </row>
    <row r="976" spans="1:4" x14ac:dyDescent="0.3">
      <c r="A976" s="2"/>
      <c r="B976" s="2"/>
      <c r="C976" s="2"/>
      <c r="D976" s="22"/>
    </row>
    <row r="977" spans="1:4" x14ac:dyDescent="0.3">
      <c r="A977" s="2"/>
      <c r="B977" s="2"/>
      <c r="C977" s="2"/>
      <c r="D977" s="22"/>
    </row>
    <row r="978" spans="1:4" x14ac:dyDescent="0.3">
      <c r="A978" s="2"/>
      <c r="B978" s="2"/>
      <c r="C978" s="2"/>
      <c r="D978" s="22"/>
    </row>
    <row r="979" spans="1:4" x14ac:dyDescent="0.3">
      <c r="A979" s="2"/>
      <c r="B979" s="2"/>
      <c r="C979" s="2"/>
      <c r="D979" s="22"/>
    </row>
    <row r="980" spans="1:4" x14ac:dyDescent="0.3">
      <c r="A980" s="2"/>
      <c r="B980" s="2"/>
      <c r="C980" s="2"/>
      <c r="D980" s="22"/>
    </row>
    <row r="981" spans="1:4" x14ac:dyDescent="0.3">
      <c r="A981" s="2"/>
      <c r="B981" s="2"/>
      <c r="C981" s="2"/>
      <c r="D981" s="22"/>
    </row>
    <row r="982" spans="1:4" x14ac:dyDescent="0.3">
      <c r="A982" s="2"/>
      <c r="B982" s="2"/>
      <c r="C982" s="2"/>
      <c r="D982" s="22"/>
    </row>
    <row r="983" spans="1:4" x14ac:dyDescent="0.3">
      <c r="A983" s="2"/>
      <c r="B983" s="2"/>
      <c r="C983" s="2"/>
      <c r="D983" s="22"/>
    </row>
    <row r="984" spans="1:4" x14ac:dyDescent="0.3">
      <c r="A984" s="2"/>
      <c r="B984" s="2"/>
      <c r="C984" s="2"/>
      <c r="D984" s="22"/>
    </row>
    <row r="985" spans="1:4" x14ac:dyDescent="0.3">
      <c r="A985" s="2"/>
      <c r="B985" s="2"/>
      <c r="C985" s="2"/>
      <c r="D985" s="22"/>
    </row>
    <row r="986" spans="1:4" x14ac:dyDescent="0.3">
      <c r="A986" s="2"/>
      <c r="B986" s="2"/>
      <c r="C986" s="2"/>
      <c r="D986" s="22"/>
    </row>
    <row r="987" spans="1:4" x14ac:dyDescent="0.3">
      <c r="A987" s="2"/>
      <c r="B987" s="2"/>
      <c r="C987" s="2"/>
      <c r="D987" s="22"/>
    </row>
    <row r="988" spans="1:4" x14ac:dyDescent="0.3">
      <c r="A988" s="2"/>
      <c r="B988" s="2"/>
      <c r="C988" s="2"/>
      <c r="D988" s="22"/>
    </row>
    <row r="989" spans="1:4" x14ac:dyDescent="0.3">
      <c r="A989" s="2"/>
      <c r="B989" s="2"/>
      <c r="C989" s="2"/>
      <c r="D989" s="22"/>
    </row>
    <row r="990" spans="1:4" x14ac:dyDescent="0.3">
      <c r="A990" s="2"/>
      <c r="B990" s="2"/>
      <c r="C990" s="2"/>
      <c r="D990" s="22"/>
    </row>
    <row r="991" spans="1:4" x14ac:dyDescent="0.3">
      <c r="A991" s="2"/>
      <c r="B991" s="2"/>
      <c r="C991" s="2"/>
      <c r="D991" s="22"/>
    </row>
    <row r="992" spans="1:4" x14ac:dyDescent="0.3">
      <c r="A992" s="2"/>
      <c r="B992" s="2"/>
      <c r="C992" s="2"/>
      <c r="D992" s="22"/>
    </row>
    <row r="993" spans="1:4" x14ac:dyDescent="0.3">
      <c r="A993" s="2"/>
      <c r="B993" s="2"/>
      <c r="C993" s="2"/>
      <c r="D993" s="22"/>
    </row>
    <row r="994" spans="1:4" x14ac:dyDescent="0.3">
      <c r="A994" s="2"/>
      <c r="B994" s="2"/>
      <c r="C994" s="2"/>
      <c r="D994" s="22"/>
    </row>
    <row r="995" spans="1:4" x14ac:dyDescent="0.3">
      <c r="A995" s="2"/>
      <c r="B995" s="2"/>
      <c r="C995" s="2"/>
      <c r="D995" s="22"/>
    </row>
    <row r="996" spans="1:4" x14ac:dyDescent="0.3">
      <c r="A996" s="2"/>
      <c r="B996" s="2"/>
      <c r="C996" s="2"/>
      <c r="D996" s="22"/>
    </row>
    <row r="997" spans="1:4" x14ac:dyDescent="0.3">
      <c r="A997" s="2"/>
      <c r="B997" s="2"/>
      <c r="C997" s="2"/>
      <c r="D997" s="22"/>
    </row>
    <row r="998" spans="1:4" x14ac:dyDescent="0.3">
      <c r="A998" s="2"/>
      <c r="B998" s="2"/>
      <c r="C998" s="2"/>
      <c r="D998" s="22"/>
    </row>
    <row r="999" spans="1:4" x14ac:dyDescent="0.3">
      <c r="A999" s="2"/>
      <c r="B999" s="2"/>
      <c r="C999" s="2"/>
      <c r="D999" s="22"/>
    </row>
    <row r="1000" spans="1:4" x14ac:dyDescent="0.3">
      <c r="A1000" s="2"/>
      <c r="B1000" s="2"/>
      <c r="C1000" s="2"/>
      <c r="D1000" s="22"/>
    </row>
  </sheetData>
  <phoneticPr fontId="1" type="noConversion"/>
  <conditionalFormatting sqref="B3">
    <cfRule type="cellIs" dxfId="4" priority="3" operator="equal">
      <formula>FALSE</formula>
    </cfRule>
    <cfRule type="cellIs" dxfId="3" priority="4" operator="equal">
      <formula>TRUE</formula>
    </cfRule>
  </conditionalFormatting>
  <conditionalFormatting sqref="E1:E1048576">
    <cfRule type="cellIs" dxfId="2" priority="1" operator="equal">
      <formula>"已确认"</formula>
    </cfRule>
    <cfRule type="cellIs" dxfId="1" priority="2" operator="equal">
      <formula>"未处理"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OrderDetailByOrderId">
                <anchor moveWithCells="1" sizeWithCells="1">
                  <from>
                    <xdr:col>0</xdr:col>
                    <xdr:colOff>352425</xdr:colOff>
                    <xdr:row>4</xdr:row>
                    <xdr:rowOff>190500</xdr:rowOff>
                  </from>
                  <to>
                    <xdr:col>2</xdr:col>
                    <xdr:colOff>9525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AllOrders">
                <anchor moveWithCells="1" sizeWithCells="1">
                  <from>
                    <xdr:col>0</xdr:col>
                    <xdr:colOff>352425</xdr:colOff>
                    <xdr:row>8</xdr:row>
                    <xdr:rowOff>152400</xdr:rowOff>
                  </from>
                  <to>
                    <xdr:col>2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1"/>
  <sheetViews>
    <sheetView showGridLines="0" workbookViewId="0"/>
  </sheetViews>
  <sheetFormatPr defaultRowHeight="16.5" x14ac:dyDescent="0.3"/>
  <cols>
    <col min="1" max="10" width="9" style="14"/>
    <col min="11" max="16384" width="9" style="1"/>
  </cols>
  <sheetData>
    <row r="1" spans="1:14" x14ac:dyDescent="0.3">
      <c r="A1" s="13" t="s">
        <v>20</v>
      </c>
      <c r="B1" s="13" t="s">
        <v>21</v>
      </c>
      <c r="C1" s="13" t="s">
        <v>22</v>
      </c>
      <c r="D1" s="13" t="s">
        <v>23</v>
      </c>
      <c r="E1" s="13" t="s">
        <v>24</v>
      </c>
      <c r="F1" s="13" t="s">
        <v>25</v>
      </c>
      <c r="G1" s="13" t="s">
        <v>26</v>
      </c>
      <c r="H1" s="13" t="s">
        <v>27</v>
      </c>
      <c r="I1" s="13" t="s">
        <v>28</v>
      </c>
      <c r="J1" s="13" t="s">
        <v>29</v>
      </c>
      <c r="L1" s="11" t="s">
        <v>7</v>
      </c>
      <c r="M1" s="94" t="s">
        <v>6</v>
      </c>
      <c r="N1" s="94"/>
    </row>
    <row r="2" spans="1:14" x14ac:dyDescent="0.3">
      <c r="L2" s="94" t="s">
        <v>14</v>
      </c>
      <c r="M2" s="94"/>
      <c r="N2" s="94"/>
    </row>
    <row r="10" spans="1:14" x14ac:dyDescent="0.3">
      <c r="L10" s="12" t="s">
        <v>19</v>
      </c>
    </row>
    <row r="11" spans="1:14" x14ac:dyDescent="0.3">
      <c r="L11" s="26" t="s">
        <v>54</v>
      </c>
    </row>
  </sheetData>
  <mergeCells count="2">
    <mergeCell ref="L2:N2"/>
    <mergeCell ref="M1:N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AllProducts">
                <anchor moveWithCells="1" sizeWithCells="1">
                  <from>
                    <xdr:col>11</xdr:col>
                    <xdr:colOff>9525</xdr:colOff>
                    <xdr:row>3</xdr:row>
                    <xdr:rowOff>123825</xdr:rowOff>
                  </from>
                  <to>
                    <xdr:col>13</xdr:col>
                    <xdr:colOff>238125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F1"/>
  <sheetViews>
    <sheetView showGridLines="0" workbookViewId="0"/>
  </sheetViews>
  <sheetFormatPr defaultRowHeight="16.5" x14ac:dyDescent="0.3"/>
  <cols>
    <col min="1" max="1" width="5.5" style="14" bestFit="1" customWidth="1"/>
    <col min="2" max="2" width="8.5" style="14" bestFit="1" customWidth="1"/>
    <col min="3" max="4" width="14.5" style="72" bestFit="1" customWidth="1"/>
    <col min="5" max="5" width="29.625" style="14" bestFit="1" customWidth="1"/>
    <col min="6" max="6" width="5.5" style="14" bestFit="1" customWidth="1"/>
    <col min="7" max="16384" width="9" style="1"/>
  </cols>
  <sheetData>
    <row r="1" spans="1:6" x14ac:dyDescent="0.3">
      <c r="A1" s="13" t="s">
        <v>69</v>
      </c>
      <c r="B1" s="13" t="s">
        <v>70</v>
      </c>
      <c r="C1" s="16" t="s">
        <v>71</v>
      </c>
      <c r="D1" s="16" t="s">
        <v>50</v>
      </c>
      <c r="E1" s="13" t="s">
        <v>59</v>
      </c>
      <c r="F1" s="13" t="s">
        <v>72</v>
      </c>
    </row>
  </sheetData>
  <phoneticPr fontId="1" type="noConversion"/>
  <conditionalFormatting sqref="F1:F1048576">
    <cfRule type="cellIs" dxfId="0" priority="1" operator="equal">
      <formula>"n"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etAllAdmins">
                <anchor moveWithCells="1" sizeWithCells="1">
                  <from>
                    <xdr:col>7</xdr:col>
                    <xdr:colOff>0</xdr:colOff>
                    <xdr:row>0</xdr:row>
                    <xdr:rowOff>200025</xdr:rowOff>
                  </from>
                  <to>
                    <xdr:col>8</xdr:col>
                    <xdr:colOff>390525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48"/>
  <sheetViews>
    <sheetView showGridLines="0" topLeftCell="A40" workbookViewId="0">
      <selection sqref="A1:B1"/>
    </sheetView>
  </sheetViews>
  <sheetFormatPr defaultRowHeight="16.5" x14ac:dyDescent="0.3"/>
  <cols>
    <col min="1" max="1" width="13.25" style="1" bestFit="1" customWidth="1"/>
    <col min="2" max="2" width="25.375" style="70" bestFit="1" customWidth="1"/>
    <col min="3" max="6" width="9" style="1"/>
    <col min="7" max="7" width="17.5" style="1" bestFit="1" customWidth="1"/>
    <col min="8" max="8" width="25.75" style="70" bestFit="1" customWidth="1"/>
    <col min="9" max="16384" width="9" style="1"/>
  </cols>
  <sheetData>
    <row r="1" spans="1:8" x14ac:dyDescent="0.3">
      <c r="A1" s="95" t="s">
        <v>103</v>
      </c>
      <c r="B1" s="95"/>
      <c r="G1" s="95" t="s">
        <v>104</v>
      </c>
      <c r="H1" s="95"/>
    </row>
    <row r="2" spans="1:8" x14ac:dyDescent="0.3">
      <c r="A2" s="14" t="s">
        <v>73</v>
      </c>
      <c r="B2" s="81"/>
      <c r="G2" s="14" t="s">
        <v>52</v>
      </c>
      <c r="H2" s="81"/>
    </row>
    <row r="3" spans="1:8" x14ac:dyDescent="0.3">
      <c r="A3" s="14" t="s">
        <v>75</v>
      </c>
      <c r="B3" s="79"/>
      <c r="G3" s="14" t="s">
        <v>106</v>
      </c>
      <c r="H3" s="72"/>
    </row>
    <row r="4" spans="1:8" x14ac:dyDescent="0.3">
      <c r="A4" s="14" t="s">
        <v>78</v>
      </c>
      <c r="B4" s="78"/>
      <c r="G4" s="14" t="s">
        <v>102</v>
      </c>
      <c r="H4" s="72"/>
    </row>
    <row r="5" spans="1:8" x14ac:dyDescent="0.3">
      <c r="A5" s="14" t="s">
        <v>79</v>
      </c>
      <c r="B5" s="78"/>
      <c r="G5" s="76" t="s">
        <v>78</v>
      </c>
      <c r="H5" s="77"/>
    </row>
    <row r="6" spans="1:8" x14ac:dyDescent="0.3">
      <c r="A6" s="14" t="s">
        <v>80</v>
      </c>
      <c r="B6" s="78"/>
      <c r="G6" s="76" t="s">
        <v>91</v>
      </c>
      <c r="H6" s="77"/>
    </row>
    <row r="7" spans="1:8" x14ac:dyDescent="0.3">
      <c r="A7" s="14" t="s">
        <v>81</v>
      </c>
      <c r="B7" s="78"/>
      <c r="G7" s="76" t="s">
        <v>92</v>
      </c>
      <c r="H7" s="77"/>
    </row>
    <row r="8" spans="1:8" x14ac:dyDescent="0.3">
      <c r="A8" s="14" t="s">
        <v>82</v>
      </c>
      <c r="B8" s="79"/>
      <c r="G8" s="76" t="s">
        <v>93</v>
      </c>
      <c r="H8" s="77"/>
    </row>
    <row r="9" spans="1:8" x14ac:dyDescent="0.3">
      <c r="A9" s="14" t="s">
        <v>76</v>
      </c>
      <c r="B9" s="78"/>
      <c r="G9" s="75" t="s">
        <v>94</v>
      </c>
      <c r="H9" s="75"/>
    </row>
    <row r="10" spans="1:8" x14ac:dyDescent="0.3">
      <c r="A10" s="14" t="s">
        <v>77</v>
      </c>
      <c r="B10" s="80"/>
      <c r="G10" s="75" t="s">
        <v>95</v>
      </c>
      <c r="H10" s="75"/>
    </row>
    <row r="11" spans="1:8" x14ac:dyDescent="0.3">
      <c r="A11" s="14" t="s">
        <v>83</v>
      </c>
      <c r="B11" s="78"/>
      <c r="G11" s="75" t="s">
        <v>96</v>
      </c>
      <c r="H11" s="75"/>
    </row>
    <row r="12" spans="1:8" x14ac:dyDescent="0.3">
      <c r="A12" s="14" t="s">
        <v>61</v>
      </c>
      <c r="B12" s="78"/>
      <c r="G12" s="75" t="s">
        <v>97</v>
      </c>
      <c r="H12" s="75"/>
    </row>
    <row r="13" spans="1:8" x14ac:dyDescent="0.3">
      <c r="A13" s="14" t="s">
        <v>84</v>
      </c>
      <c r="B13" s="78"/>
      <c r="G13" s="75" t="s">
        <v>98</v>
      </c>
      <c r="H13" s="75"/>
    </row>
    <row r="14" spans="1:8" x14ac:dyDescent="0.3">
      <c r="A14" s="14"/>
      <c r="B14" s="72"/>
      <c r="G14" s="75" t="s">
        <v>99</v>
      </c>
      <c r="H14" s="75"/>
    </row>
    <row r="15" spans="1:8" x14ac:dyDescent="0.3">
      <c r="A15" s="14"/>
      <c r="B15" s="72"/>
      <c r="G15" s="75" t="s">
        <v>100</v>
      </c>
      <c r="H15" s="75"/>
    </row>
    <row r="16" spans="1:8" x14ac:dyDescent="0.3">
      <c r="A16" s="14"/>
      <c r="B16" s="72"/>
      <c r="G16" s="75" t="s">
        <v>101</v>
      </c>
      <c r="H16" s="75"/>
    </row>
    <row r="17" spans="1:8" x14ac:dyDescent="0.3">
      <c r="A17" s="14"/>
      <c r="B17" s="72"/>
      <c r="G17" s="75" t="s">
        <v>105</v>
      </c>
      <c r="H17" s="75"/>
    </row>
    <row r="18" spans="1:8" x14ac:dyDescent="0.3">
      <c r="A18" s="14"/>
      <c r="B18" s="72"/>
      <c r="G18" s="14" t="s">
        <v>61</v>
      </c>
      <c r="H18" s="72"/>
    </row>
    <row r="19" spans="1:8" x14ac:dyDescent="0.3">
      <c r="A19" s="14"/>
      <c r="B19" s="72"/>
      <c r="G19" s="14" t="s">
        <v>84</v>
      </c>
      <c r="H19" s="72"/>
    </row>
    <row r="20" spans="1:8" x14ac:dyDescent="0.3">
      <c r="A20" s="14"/>
      <c r="B20" s="72"/>
      <c r="G20" s="14" t="s">
        <v>77</v>
      </c>
      <c r="H20" s="25"/>
    </row>
    <row r="21" spans="1:8" x14ac:dyDescent="0.3">
      <c r="G21" s="14" t="s">
        <v>83</v>
      </c>
      <c r="H21" s="72"/>
    </row>
    <row r="28" spans="1:8" x14ac:dyDescent="0.3">
      <c r="A28" s="96" t="s">
        <v>89</v>
      </c>
      <c r="B28" s="97"/>
      <c r="G28" s="98" t="s">
        <v>90</v>
      </c>
      <c r="H28" s="99"/>
    </row>
    <row r="29" spans="1:8" x14ac:dyDescent="0.3">
      <c r="A29" s="14" t="s">
        <v>73</v>
      </c>
      <c r="B29" s="72"/>
      <c r="G29" s="14" t="s">
        <v>52</v>
      </c>
      <c r="H29" s="72"/>
    </row>
    <row r="30" spans="1:8" x14ac:dyDescent="0.3">
      <c r="A30" s="14" t="s">
        <v>75</v>
      </c>
      <c r="B30" s="72"/>
      <c r="G30" s="14" t="s">
        <v>106</v>
      </c>
      <c r="H30" s="72"/>
    </row>
    <row r="31" spans="1:8" x14ac:dyDescent="0.3">
      <c r="A31" s="14" t="s">
        <v>78</v>
      </c>
      <c r="B31" s="72"/>
      <c r="G31" s="14" t="s">
        <v>102</v>
      </c>
      <c r="H31" s="72"/>
    </row>
    <row r="32" spans="1:8" x14ac:dyDescent="0.3">
      <c r="A32" s="14" t="s">
        <v>79</v>
      </c>
      <c r="B32" s="72"/>
      <c r="G32" s="76" t="s">
        <v>78</v>
      </c>
      <c r="H32" s="77"/>
    </row>
    <row r="33" spans="1:8" x14ac:dyDescent="0.3">
      <c r="A33" s="14" t="s">
        <v>80</v>
      </c>
      <c r="B33" s="72"/>
      <c r="G33" s="76" t="s">
        <v>91</v>
      </c>
      <c r="H33" s="77"/>
    </row>
    <row r="34" spans="1:8" x14ac:dyDescent="0.3">
      <c r="A34" s="14" t="s">
        <v>81</v>
      </c>
      <c r="B34" s="72"/>
      <c r="G34" s="76" t="s">
        <v>92</v>
      </c>
      <c r="H34" s="77"/>
    </row>
    <row r="35" spans="1:8" x14ac:dyDescent="0.3">
      <c r="A35" s="14" t="s">
        <v>82</v>
      </c>
      <c r="B35" s="72"/>
      <c r="G35" s="76" t="s">
        <v>93</v>
      </c>
      <c r="H35" s="77"/>
    </row>
    <row r="36" spans="1:8" x14ac:dyDescent="0.3">
      <c r="A36" s="14" t="s">
        <v>76</v>
      </c>
      <c r="B36" s="72"/>
      <c r="G36" s="75" t="s">
        <v>94</v>
      </c>
      <c r="H36" s="75"/>
    </row>
    <row r="37" spans="1:8" x14ac:dyDescent="0.3">
      <c r="A37" s="14" t="s">
        <v>77</v>
      </c>
      <c r="B37" s="72"/>
      <c r="G37" s="75" t="s">
        <v>95</v>
      </c>
      <c r="H37" s="75"/>
    </row>
    <row r="38" spans="1:8" x14ac:dyDescent="0.3">
      <c r="A38" s="14" t="s">
        <v>83</v>
      </c>
      <c r="B38" s="72"/>
      <c r="G38" s="75" t="s">
        <v>96</v>
      </c>
      <c r="H38" s="75"/>
    </row>
    <row r="39" spans="1:8" x14ac:dyDescent="0.3">
      <c r="A39" s="14" t="s">
        <v>61</v>
      </c>
      <c r="B39" s="72"/>
      <c r="G39" s="75" t="s">
        <v>97</v>
      </c>
      <c r="H39" s="75"/>
    </row>
    <row r="40" spans="1:8" x14ac:dyDescent="0.3">
      <c r="A40" s="14" t="s">
        <v>84</v>
      </c>
      <c r="B40" s="72"/>
      <c r="G40" s="75" t="s">
        <v>98</v>
      </c>
      <c r="H40" s="75"/>
    </row>
    <row r="41" spans="1:8" x14ac:dyDescent="0.3">
      <c r="A41" s="14"/>
      <c r="B41" s="72"/>
      <c r="G41" s="75" t="s">
        <v>99</v>
      </c>
      <c r="H41" s="75"/>
    </row>
    <row r="42" spans="1:8" x14ac:dyDescent="0.3">
      <c r="A42" s="14"/>
      <c r="B42" s="72"/>
      <c r="G42" s="75" t="s">
        <v>100</v>
      </c>
      <c r="H42" s="75"/>
    </row>
    <row r="43" spans="1:8" x14ac:dyDescent="0.3">
      <c r="A43" s="14"/>
      <c r="B43" s="72"/>
      <c r="G43" s="75" t="s">
        <v>101</v>
      </c>
      <c r="H43" s="75"/>
    </row>
    <row r="44" spans="1:8" x14ac:dyDescent="0.3">
      <c r="A44" s="14"/>
      <c r="B44" s="72"/>
      <c r="G44" s="75" t="s">
        <v>105</v>
      </c>
      <c r="H44" s="75"/>
    </row>
    <row r="45" spans="1:8" x14ac:dyDescent="0.3">
      <c r="A45" s="14"/>
      <c r="B45" s="72"/>
      <c r="G45" s="14" t="s">
        <v>61</v>
      </c>
      <c r="H45" s="72"/>
    </row>
    <row r="46" spans="1:8" x14ac:dyDescent="0.3">
      <c r="A46" s="14"/>
      <c r="B46" s="72"/>
      <c r="G46" s="14" t="s">
        <v>84</v>
      </c>
      <c r="H46" s="72"/>
    </row>
    <row r="47" spans="1:8" x14ac:dyDescent="0.3">
      <c r="A47" s="14"/>
      <c r="B47" s="72"/>
      <c r="G47" s="14" t="s">
        <v>77</v>
      </c>
      <c r="H47" s="25"/>
    </row>
    <row r="48" spans="1:8" x14ac:dyDescent="0.3">
      <c r="G48" s="14" t="s">
        <v>83</v>
      </c>
      <c r="H48" s="72"/>
    </row>
  </sheetData>
  <mergeCells count="4">
    <mergeCell ref="A1:B1"/>
    <mergeCell ref="A28:B28"/>
    <mergeCell ref="G1:H1"/>
    <mergeCell ref="G28:H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aveTwoSideContractBasicInfo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4</xdr:col>
                    <xdr:colOff>266700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GenTwoSideContract">
                <anchor moveWithCells="1" sizeWithCells="1">
                  <from>
                    <xdr:col>2</xdr:col>
                    <xdr:colOff>542925</xdr:colOff>
                    <xdr:row>12</xdr:row>
                    <xdr:rowOff>190500</xdr:rowOff>
                  </from>
                  <to>
                    <xdr:col>4</xdr:col>
                    <xdr:colOff>266700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GetTwoSideContractBasicInfo">
                <anchor moveWithCells="1" sizeWithCells="1">
                  <from>
                    <xdr:col>2</xdr:col>
                    <xdr:colOff>542925</xdr:colOff>
                    <xdr:row>1</xdr:row>
                    <xdr:rowOff>114300</xdr:rowOff>
                  </from>
                  <to>
                    <xdr:col>4</xdr:col>
                    <xdr:colOff>266700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SaveThreeSideContractBasicInfo">
                <anchor moveWithCells="1" sizeWithCells="1">
                  <from>
                    <xdr:col>9</xdr:col>
                    <xdr:colOff>66675</xdr:colOff>
                    <xdr:row>5</xdr:row>
                    <xdr:rowOff>85725</xdr:rowOff>
                  </from>
                  <to>
                    <xdr:col>10</xdr:col>
                    <xdr:colOff>476250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Button 7">
              <controlPr defaultSize="0" print="0" autoFill="0" autoPict="0" macro="[0]!GenThreeSideContract">
                <anchor moveWithCells="1" sizeWithCells="1">
                  <from>
                    <xdr:col>9</xdr:col>
                    <xdr:colOff>66675</xdr:colOff>
                    <xdr:row>12</xdr:row>
                    <xdr:rowOff>190500</xdr:rowOff>
                  </from>
                  <to>
                    <xdr:col>10</xdr:col>
                    <xdr:colOff>476250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GetThreeSideContractBasicInfo">
                <anchor moveWithCells="1" sizeWithCells="1">
                  <from>
                    <xdr:col>9</xdr:col>
                    <xdr:colOff>66675</xdr:colOff>
                    <xdr:row>1</xdr:row>
                    <xdr:rowOff>114300</xdr:rowOff>
                  </from>
                  <to>
                    <xdr:col>10</xdr:col>
                    <xdr:colOff>476250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2"/>
  <sheetViews>
    <sheetView workbookViewId="0"/>
  </sheetViews>
  <sheetFormatPr defaultRowHeight="16.5" x14ac:dyDescent="0.3"/>
  <cols>
    <col min="1" max="1" width="9.125" style="1" bestFit="1" customWidth="1"/>
    <col min="2" max="3" width="9" style="1"/>
    <col min="4" max="4" width="12.75" style="70" bestFit="1" customWidth="1"/>
    <col min="5" max="5" width="18.75" style="1" bestFit="1" customWidth="1"/>
    <col min="6" max="6" width="14.25" style="6" bestFit="1" customWidth="1"/>
    <col min="7" max="7" width="9.125" style="1" bestFit="1" customWidth="1"/>
    <col min="8" max="11" width="9" style="1"/>
    <col min="12" max="12" width="13" style="6" bestFit="1" customWidth="1"/>
    <col min="13" max="14" width="9" style="1"/>
    <col min="15" max="16" width="9.125" style="1" bestFit="1" customWidth="1"/>
    <col min="17" max="17" width="13" style="6" bestFit="1" customWidth="1"/>
    <col min="18" max="18" width="9" style="1"/>
    <col min="19" max="19" width="13.25" style="70" bestFit="1" customWidth="1"/>
    <col min="20" max="20" width="22.375" style="1" bestFit="1" customWidth="1"/>
    <col min="21" max="22" width="16.125" style="1" bestFit="1" customWidth="1"/>
    <col min="23" max="16384" width="9" style="1"/>
  </cols>
  <sheetData>
    <row r="1" spans="1:23" x14ac:dyDescent="0.3">
      <c r="A1" s="13" t="s">
        <v>49</v>
      </c>
      <c r="B1" s="13" t="s">
        <v>55</v>
      </c>
      <c r="C1" s="13" t="s">
        <v>60</v>
      </c>
      <c r="D1" s="16" t="s">
        <v>50</v>
      </c>
      <c r="E1" s="13" t="s">
        <v>59</v>
      </c>
      <c r="F1" s="15" t="s">
        <v>62</v>
      </c>
      <c r="G1" s="13" t="s">
        <v>20</v>
      </c>
      <c r="H1" s="13" t="s">
        <v>21</v>
      </c>
      <c r="I1" s="13" t="s">
        <v>23</v>
      </c>
      <c r="J1" s="13" t="s">
        <v>24</v>
      </c>
      <c r="K1" s="13" t="s">
        <v>25</v>
      </c>
      <c r="L1" s="15" t="s">
        <v>26</v>
      </c>
      <c r="M1" s="13" t="s">
        <v>27</v>
      </c>
      <c r="N1" s="13" t="s">
        <v>29</v>
      </c>
      <c r="O1" s="13" t="s">
        <v>63</v>
      </c>
      <c r="P1" s="13" t="s">
        <v>64</v>
      </c>
      <c r="Q1" s="15" t="s">
        <v>65</v>
      </c>
      <c r="R1" s="13" t="s">
        <v>56</v>
      </c>
      <c r="S1" s="16" t="s">
        <v>58</v>
      </c>
      <c r="T1" s="13" t="s">
        <v>57</v>
      </c>
      <c r="U1" s="13" t="s">
        <v>1</v>
      </c>
      <c r="V1" s="13" t="s">
        <v>66</v>
      </c>
    </row>
    <row r="2" spans="1:23" x14ac:dyDescent="0.3">
      <c r="U2" s="71"/>
      <c r="V2" s="71"/>
      <c r="W2" s="71"/>
    </row>
    <row r="3" spans="1:23" x14ac:dyDescent="0.3">
      <c r="U3" s="71"/>
      <c r="V3" s="71"/>
    </row>
    <row r="4" spans="1:23" x14ac:dyDescent="0.3">
      <c r="U4" s="71"/>
      <c r="V4" s="71"/>
    </row>
    <row r="5" spans="1:23" x14ac:dyDescent="0.3">
      <c r="U5" s="71"/>
      <c r="V5" s="71"/>
    </row>
    <row r="6" spans="1:23" x14ac:dyDescent="0.3">
      <c r="U6" s="71"/>
      <c r="V6" s="71"/>
    </row>
    <row r="7" spans="1:23" x14ac:dyDescent="0.3">
      <c r="U7" s="71"/>
      <c r="V7" s="71"/>
    </row>
    <row r="8" spans="1:23" x14ac:dyDescent="0.3">
      <c r="U8" s="71"/>
      <c r="V8" s="71"/>
    </row>
    <row r="9" spans="1:23" x14ac:dyDescent="0.3">
      <c r="U9" s="71"/>
      <c r="V9" s="71"/>
    </row>
    <row r="10" spans="1:23" x14ac:dyDescent="0.3">
      <c r="U10" s="71"/>
      <c r="V10" s="71"/>
    </row>
    <row r="11" spans="1:23" x14ac:dyDescent="0.3">
      <c r="U11" s="71"/>
      <c r="V11" s="71"/>
    </row>
    <row r="12" spans="1:23" x14ac:dyDescent="0.3">
      <c r="U12" s="71"/>
      <c r="V12" s="7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showGridLines="0" workbookViewId="0">
      <selection activeCell="A17" sqref="A17"/>
    </sheetView>
  </sheetViews>
  <sheetFormatPr defaultRowHeight="16.5" x14ac:dyDescent="0.3"/>
  <cols>
    <col min="1" max="1" width="10" style="1" bestFit="1" customWidth="1"/>
    <col min="2" max="2" width="12.5" style="1" bestFit="1" customWidth="1"/>
    <col min="3" max="8" width="9" style="1"/>
    <col min="9" max="9" width="9.625" style="1" bestFit="1" customWidth="1"/>
    <col min="10" max="16384" width="9" style="1"/>
  </cols>
  <sheetData>
    <row r="1" spans="1:10" x14ac:dyDescent="0.3">
      <c r="A1" s="106" t="s">
        <v>39</v>
      </c>
      <c r="B1" s="107"/>
      <c r="C1" s="108"/>
      <c r="E1" s="106" t="s">
        <v>42</v>
      </c>
      <c r="F1" s="107"/>
      <c r="G1" s="107"/>
      <c r="H1" s="108"/>
      <c r="J1" s="1" t="s">
        <v>41</v>
      </c>
    </row>
    <row r="2" spans="1:10" x14ac:dyDescent="0.3">
      <c r="A2" s="124">
        <f ca="1">NOW()</f>
        <v>43250.474174537034</v>
      </c>
      <c r="B2" s="125"/>
      <c r="C2" s="126"/>
      <c r="E2" s="37" t="s">
        <v>30</v>
      </c>
      <c r="F2" s="89">
        <v>678</v>
      </c>
      <c r="G2" s="89"/>
      <c r="H2" s="90"/>
    </row>
    <row r="3" spans="1:10" x14ac:dyDescent="0.3">
      <c r="A3" s="112">
        <f ca="1">NOW()</f>
        <v>43250.474174537034</v>
      </c>
      <c r="B3" s="113"/>
      <c r="C3" s="114"/>
      <c r="E3" s="37" t="s">
        <v>40</v>
      </c>
      <c r="F3" s="35" t="b">
        <v>1</v>
      </c>
      <c r="G3" s="31"/>
      <c r="H3" s="38"/>
    </row>
    <row r="4" spans="1:10" x14ac:dyDescent="0.3">
      <c r="A4" s="109">
        <f ca="1">NOW()</f>
        <v>43250.474174537034</v>
      </c>
      <c r="B4" s="110"/>
      <c r="C4" s="111"/>
      <c r="E4" s="37" t="s">
        <v>33</v>
      </c>
      <c r="F4" s="35" t="b">
        <v>1</v>
      </c>
      <c r="G4" s="32"/>
      <c r="H4" s="39"/>
    </row>
    <row r="5" spans="1:10" x14ac:dyDescent="0.3">
      <c r="A5" s="115">
        <f ca="1">NOW()</f>
        <v>43250.474174537034</v>
      </c>
      <c r="B5" s="116"/>
      <c r="C5" s="117"/>
      <c r="E5" s="37" t="s">
        <v>34</v>
      </c>
      <c r="F5" s="35" t="b">
        <v>1</v>
      </c>
      <c r="G5" s="31"/>
      <c r="H5" s="38"/>
    </row>
    <row r="6" spans="1:10" x14ac:dyDescent="0.3">
      <c r="A6" s="121">
        <f ca="1">NOW()</f>
        <v>43250.474174537034</v>
      </c>
      <c r="B6" s="122"/>
      <c r="C6" s="123"/>
      <c r="E6" s="40" t="s">
        <v>31</v>
      </c>
      <c r="F6" s="41" t="str">
        <f>cncurrency(F2,F3,F4,F5)</f>
        <v>人民币陆佰柒拾捌圆整</v>
      </c>
      <c r="G6" s="42"/>
      <c r="H6" s="43"/>
    </row>
    <row r="8" spans="1:10" ht="17.25" x14ac:dyDescent="0.3">
      <c r="A8" s="106" t="s">
        <v>44</v>
      </c>
      <c r="B8" s="107"/>
      <c r="C8" s="108"/>
      <c r="E8" s="106" t="s">
        <v>43</v>
      </c>
      <c r="F8" s="107"/>
      <c r="G8" s="108"/>
      <c r="I8" s="53" t="str">
        <f>IF(ISNUMBER(A1),IF(INT(A1),TEXT(INT(A1),"[dbnum2]")&amp;"元","")&amp;IF(MOD(INT(A1*10),10),TEXT(MOD(INT(A1*10),10),"[dbnum2]")&amp;"角",IF(INT(A1)=A1,,IF(A1&lt;0.1,,"零")))&amp;IF(MOD(INT(A1*100),10),TEXT(MOD(INT(A1*100),10),"[dbnum2]")&amp;"分",""),"")</f>
        <v/>
      </c>
    </row>
    <row r="9" spans="1:10" x14ac:dyDescent="0.3">
      <c r="A9" s="59" t="s">
        <v>48</v>
      </c>
      <c r="B9" s="129">
        <v>42796</v>
      </c>
      <c r="C9" s="130"/>
      <c r="E9" s="59" t="s">
        <v>48</v>
      </c>
      <c r="F9" s="127">
        <v>34567</v>
      </c>
      <c r="G9" s="128"/>
    </row>
    <row r="10" spans="1:10" x14ac:dyDescent="0.3">
      <c r="A10" s="140">
        <f>B9</f>
        <v>42796</v>
      </c>
      <c r="B10" s="141"/>
      <c r="C10" s="142"/>
      <c r="E10" s="118">
        <f>$F$9</f>
        <v>34567</v>
      </c>
      <c r="F10" s="119"/>
      <c r="G10" s="120"/>
    </row>
    <row r="11" spans="1:10" x14ac:dyDescent="0.3">
      <c r="A11" s="109">
        <f>B9</f>
        <v>42796</v>
      </c>
      <c r="B11" s="110"/>
      <c r="C11" s="111"/>
      <c r="E11" s="131">
        <f t="shared" ref="E11:E16" si="0">$F$9</f>
        <v>34567</v>
      </c>
      <c r="F11" s="132"/>
      <c r="G11" s="133"/>
    </row>
    <row r="12" spans="1:10" x14ac:dyDescent="0.3">
      <c r="A12" s="115">
        <f>B9</f>
        <v>42796</v>
      </c>
      <c r="B12" s="116"/>
      <c r="C12" s="117"/>
      <c r="E12" s="149">
        <f t="shared" si="0"/>
        <v>34567</v>
      </c>
      <c r="F12" s="150"/>
      <c r="G12" s="151"/>
    </row>
    <row r="13" spans="1:10" x14ac:dyDescent="0.3">
      <c r="A13" s="143">
        <f>B9</f>
        <v>42796</v>
      </c>
      <c r="B13" s="144"/>
      <c r="C13" s="145"/>
      <c r="E13" s="134">
        <f t="shared" si="0"/>
        <v>34567</v>
      </c>
      <c r="F13" s="135"/>
      <c r="G13" s="136"/>
    </row>
    <row r="14" spans="1:10" x14ac:dyDescent="0.3">
      <c r="A14" s="137">
        <f>A10</f>
        <v>42796</v>
      </c>
      <c r="B14" s="138"/>
      <c r="C14" s="139"/>
      <c r="E14" s="146">
        <f t="shared" si="0"/>
        <v>34567</v>
      </c>
      <c r="F14" s="147"/>
      <c r="G14" s="148"/>
    </row>
    <row r="15" spans="1:10" x14ac:dyDescent="0.3">
      <c r="E15" s="100">
        <f t="shared" si="0"/>
        <v>34567</v>
      </c>
      <c r="F15" s="101"/>
      <c r="G15" s="102"/>
    </row>
    <row r="16" spans="1:10" x14ac:dyDescent="0.3">
      <c r="A16" s="58" t="s">
        <v>45</v>
      </c>
      <c r="B16" s="58" t="s">
        <v>46</v>
      </c>
      <c r="C16" s="58" t="s">
        <v>47</v>
      </c>
      <c r="E16" s="103">
        <f t="shared" si="0"/>
        <v>34567</v>
      </c>
      <c r="F16" s="104"/>
      <c r="G16" s="105"/>
    </row>
    <row r="17" spans="1:3" x14ac:dyDescent="0.3">
      <c r="A17" s="54">
        <v>42796</v>
      </c>
      <c r="B17" s="54">
        <v>42828</v>
      </c>
      <c r="C17" s="55">
        <f>B17-A17</f>
        <v>32</v>
      </c>
    </row>
    <row r="18" spans="1:3" x14ac:dyDescent="0.3">
      <c r="A18" s="54">
        <v>42796</v>
      </c>
      <c r="B18" s="56">
        <f>A18+C18</f>
        <v>42856</v>
      </c>
      <c r="C18" s="57">
        <v>60</v>
      </c>
    </row>
  </sheetData>
  <mergeCells count="24">
    <mergeCell ref="E13:G13"/>
    <mergeCell ref="A14:C14"/>
    <mergeCell ref="A10:C10"/>
    <mergeCell ref="A11:C11"/>
    <mergeCell ref="A12:C12"/>
    <mergeCell ref="A13:C13"/>
    <mergeCell ref="E14:G14"/>
    <mergeCell ref="E12:G12"/>
    <mergeCell ref="E15:G15"/>
    <mergeCell ref="E16:G16"/>
    <mergeCell ref="E1:H1"/>
    <mergeCell ref="F2:H2"/>
    <mergeCell ref="A8:C8"/>
    <mergeCell ref="A1:C1"/>
    <mergeCell ref="A4:C4"/>
    <mergeCell ref="A3:C3"/>
    <mergeCell ref="A5:C5"/>
    <mergeCell ref="E8:G8"/>
    <mergeCell ref="E10:G10"/>
    <mergeCell ref="A6:C6"/>
    <mergeCell ref="A2:C2"/>
    <mergeCell ref="F9:G9"/>
    <mergeCell ref="B9:C9"/>
    <mergeCell ref="E11:G11"/>
  </mergeCells>
  <phoneticPr fontId="1" type="noConversion"/>
  <dataValidations disablePrompts="1" count="1">
    <dataValidation type="list" showInputMessage="1" showErrorMessage="1" sqref="F3:F5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"/>
  <sheetViews>
    <sheetView workbookViewId="0"/>
  </sheetViews>
  <sheetFormatPr defaultRowHeight="14.25" x14ac:dyDescent="0.2"/>
  <cols>
    <col min="2" max="2" width="11.125" bestFit="1" customWidth="1"/>
    <col min="3" max="3" width="14" style="10" bestFit="1" customWidth="1"/>
  </cols>
  <sheetData>
    <row r="1" spans="1:7" x14ac:dyDescent="0.2">
      <c r="B1" t="s">
        <v>85</v>
      </c>
      <c r="C1" s="10" t="s">
        <v>4</v>
      </c>
      <c r="D1" t="s">
        <v>86</v>
      </c>
    </row>
    <row r="2" spans="1:7" x14ac:dyDescent="0.2">
      <c r="A2" t="s">
        <v>3</v>
      </c>
      <c r="B2">
        <v>731</v>
      </c>
      <c r="C2" s="10">
        <f>FC_SAN_Price(B2)</f>
        <v>518150</v>
      </c>
      <c r="D2" s="10">
        <f>C2/B2</f>
        <v>708.82352941176475</v>
      </c>
      <c r="F2">
        <f>100</f>
        <v>100</v>
      </c>
      <c r="G2">
        <f>100*10</f>
        <v>1000</v>
      </c>
    </row>
    <row r="3" spans="1:7" x14ac:dyDescent="0.2">
      <c r="A3" t="s">
        <v>5</v>
      </c>
      <c r="B3">
        <v>852</v>
      </c>
      <c r="C3" s="10">
        <f>IP_SAN_Price(B3)</f>
        <v>261896</v>
      </c>
      <c r="D3" s="10">
        <f>C3/B3</f>
        <v>307.38967136150234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编辑订单</vt:lpstr>
      <vt:lpstr>预览订单</vt:lpstr>
      <vt:lpstr>查询订单</vt:lpstr>
      <vt:lpstr>所有商品</vt:lpstr>
      <vt:lpstr>客户经理</vt:lpstr>
      <vt:lpstr>生成合同</vt:lpstr>
      <vt:lpstr>最终订单</vt:lpstr>
      <vt:lpstr>小工具</vt:lpstr>
      <vt:lpstr>存储价格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2018-05-30T03:23:15Z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6ffe51a6-8275-4dd1-8d9b-af384e5af333</vt:lpwstr>
  </property>
  <property fmtid="{D5CDD505-2E9C-101B-9397-08002B2CF9AE}" pid="3" name="ConnectionInfosStorage">
    <vt:lpwstr>WorkbookXmlParts</vt:lpwstr>
  </property>
</Properties>
</file>